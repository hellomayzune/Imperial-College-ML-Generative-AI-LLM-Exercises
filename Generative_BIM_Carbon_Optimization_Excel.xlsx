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Generative Data" sheetId="2" state="visible" r:id="rId2"/>
    <sheet xmlns:r="http://schemas.openxmlformats.org/officeDocument/2006/relationships" name="Parameters &amp; 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"/>
    <numFmt numFmtId="166" formatCode="0.05"/>
    <numFmt numFmtId="167" formatCode="#,##0.1"/>
    <numFmt numFmtId="168" formatCode="#,##0 tCO2e"/>
    <numFmt numFmtId="169" formatCode="0 Designs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0D9488"/>
      <sz val="20"/>
    </font>
    <font>
      <name val="Calibri"/>
      <color rgb="0064748B"/>
      <sz val="8"/>
    </font>
    <font>
      <name val="Calibri"/>
      <b val="1"/>
      <color rgb="001E293B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168" fontId="7" fillId="4" borderId="1" applyAlignment="1" pivotButton="0" quotePrefix="0" xfId="0">
      <alignment horizontal="center" vertical="center"/>
    </xf>
    <xf numFmtId="169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166" fontId="4" fillId="0" borderId="1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name val="Calibri"/>
        <b val="1"/>
        <color rgb="0015803D"/>
        <sz val="11"/>
      </font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Embodied Carbon vs. Operational Carbon Trade-Off (Pareto Optimization)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'Generative Data'!$J$2:$J$201</f>
            </numRef>
          </xVal>
          <yVal>
            <numRef>
              <f>'Generative Data'!$L$2:$L$201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Lifetime Embodied Carbon (tCO2e)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60-Year Operational Carbon (tCO2e)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</cols>
  <sheetData>
    <row r="2" ht="42" customHeight="1">
      <c r="B2" s="1" t="inlineStr">
        <is>
          <t>GENERATIVE BIM &amp; CARBON FOOTPRINT OPTIMIZATION DASHBOARD</t>
        </is>
      </c>
    </row>
    <row r="3" ht="20" customHeight="1">
      <c r="B3" s="2" t="inlineStr">
        <is>
          <t>Simultaneous Embodied &amp; 60-Year Operational Carbon Multi-Objective Analysis (200 Building Massing Variations)</t>
        </is>
      </c>
    </row>
    <row r="5" ht="18" customHeight="1">
      <c r="B5" s="3" t="inlineStr">
        <is>
          <t>LOWEST LIFETIME CARBON</t>
        </is>
      </c>
      <c r="C5" s="4" t="n"/>
      <c r="D5" s="3" t="inlineStr">
        <is>
          <t>AVG EMBODIED CARBON</t>
        </is>
      </c>
      <c r="E5" s="4" t="n"/>
      <c r="F5" s="3" t="inlineStr">
        <is>
          <t>AVG OPERATIONAL CARBON</t>
        </is>
      </c>
      <c r="G5" s="4" t="n"/>
      <c r="H5" s="3" t="inlineStr">
        <is>
          <t>PARETO CANDIDATES</t>
        </is>
      </c>
      <c r="I5" s="4" t="n"/>
    </row>
    <row r="6" ht="30" customHeight="1">
      <c r="B6" s="5">
        <f>MIN('Generative Data'!M2:M201)</f>
        <v/>
      </c>
      <c r="C6" s="4" t="n"/>
      <c r="D6" s="5">
        <f>AVERAGE('Generative Data'!J2:J201)</f>
        <v/>
      </c>
      <c r="E6" s="4" t="n"/>
      <c r="F6" s="5">
        <f>AVERAGE('Generative Data'!L2:L201)</f>
        <v/>
      </c>
      <c r="G6" s="4" t="n"/>
      <c r="H6" s="6">
        <f>COUNTIF('Generative Data'!O2:O201, "PARETO")</f>
        <v/>
      </c>
      <c r="I6" s="4" t="n"/>
    </row>
    <row r="7" ht="16" customHeight="1">
      <c r="B7" s="7" t="inlineStr">
        <is>
          <t>Minimum among 200 iterations</t>
        </is>
      </c>
      <c r="C7" s="4" t="n"/>
      <c r="D7" s="7" t="inlineStr">
        <is>
          <t>Structural + Facade Upfront</t>
        </is>
      </c>
      <c r="E7" s="4" t="n"/>
      <c r="F7" s="7" t="inlineStr">
        <is>
          <t>60-Year Energy Demand</t>
        </is>
      </c>
      <c r="G7" s="4" t="n"/>
      <c r="H7" s="7" t="inlineStr">
        <is>
          <t>Non-dominated Optimal Form</t>
        </is>
      </c>
      <c r="I7" s="4" t="n"/>
    </row>
    <row r="10">
      <c r="B10" s="8" t="inlineStr">
        <is>
          <t>PARETO OPTIMAL DESIGN SOLUTIONS (TOP SELECTIONS)</t>
        </is>
      </c>
    </row>
    <row r="11" ht="24" customHeight="1">
      <c r="B11" s="9" t="inlineStr">
        <is>
          <t>Iter ID</t>
        </is>
      </c>
      <c r="C11" s="9" t="inlineStr">
        <is>
          <t>Material</t>
        </is>
      </c>
      <c r="D11" s="9" t="inlineStr">
        <is>
          <t>Floors</t>
        </is>
      </c>
      <c r="E11" s="9" t="inlineStr">
        <is>
          <t>South WWR</t>
        </is>
      </c>
      <c r="F11" s="9" t="inlineStr">
        <is>
          <t>Shading (m)</t>
        </is>
      </c>
      <c r="G11" s="9" t="inlineStr">
        <is>
          <t>Embodied (t)</t>
        </is>
      </c>
      <c r="H11" s="9" t="inlineStr">
        <is>
          <t>Operational (t)</t>
        </is>
      </c>
      <c r="I11" s="9" t="inlineStr">
        <is>
          <t>Total CO2e (t)</t>
        </is>
      </c>
    </row>
    <row r="12" ht="20" customHeight="1">
      <c r="B12" s="10">
        <f>SMALL(IF('Generative Data'!$O$2:$O$201="PARETO", 'Generative Data'!$A$2:$A$201), 1)</f>
        <v/>
      </c>
      <c r="C12" s="11">
        <f>VLOOKUP(B12, 'Generative Data'!$A$2:$O$201, 7, FALSE)</f>
        <v/>
      </c>
      <c r="D12" s="12">
        <f>VLOOKUP(B12, 'Generative Data'!$A$2:$O$201, 2, FALSE)</f>
        <v/>
      </c>
      <c r="E12" s="13">
        <f>VLOOKUP(B12, 'Generative Data'!$A$2:$O$201, 5, FALSE)</f>
        <v/>
      </c>
      <c r="F12" s="13">
        <f>VLOOKUP(B12, 'Generative Data'!$A$2:$O$201, 6, FALSE)</f>
        <v/>
      </c>
      <c r="G12" s="14">
        <f>VLOOKUP(B12, 'Generative Data'!$A$2:$O$201, 10, FALSE)</f>
        <v/>
      </c>
      <c r="H12" s="14">
        <f>VLOOKUP(B12, 'Generative Data'!$A$2:$O$201, 12, FALSE)</f>
        <v/>
      </c>
      <c r="I12" s="14">
        <f>VLOOKUP(B12, 'Generative Data'!$A$2:$O$201, 13, FALSE)</f>
        <v/>
      </c>
    </row>
    <row r="13" ht="20" customHeight="1">
      <c r="B13" s="15">
        <f>SMALL(IF('Generative Data'!$O$2:$O$201="PARETO", 'Generative Data'!$A$2:$A$201), 2)</f>
        <v/>
      </c>
      <c r="C13" s="16">
        <f>VLOOKUP(B13, 'Generative Data'!$A$2:$O$201, 7, FALSE)</f>
        <v/>
      </c>
      <c r="D13" s="17">
        <f>VLOOKUP(B13, 'Generative Data'!$A$2:$O$201, 2, FALSE)</f>
        <v/>
      </c>
      <c r="E13" s="18">
        <f>VLOOKUP(B13, 'Generative Data'!$A$2:$O$201, 5, FALSE)</f>
        <v/>
      </c>
      <c r="F13" s="18">
        <f>VLOOKUP(B13, 'Generative Data'!$A$2:$O$201, 6, FALSE)</f>
        <v/>
      </c>
      <c r="G13" s="19">
        <f>VLOOKUP(B13, 'Generative Data'!$A$2:$O$201, 10, FALSE)</f>
        <v/>
      </c>
      <c r="H13" s="19">
        <f>VLOOKUP(B13, 'Generative Data'!$A$2:$O$201, 12, FALSE)</f>
        <v/>
      </c>
      <c r="I13" s="19">
        <f>VLOOKUP(B13, 'Generative Data'!$A$2:$O$201, 13, FALSE)</f>
        <v/>
      </c>
    </row>
    <row r="14" ht="20" customHeight="1">
      <c r="B14" s="10">
        <f>SMALL(IF('Generative Data'!$O$2:$O$201="PARETO", 'Generative Data'!$A$2:$A$201), 3)</f>
        <v/>
      </c>
      <c r="C14" s="11">
        <f>VLOOKUP(B14, 'Generative Data'!$A$2:$O$201, 7, FALSE)</f>
        <v/>
      </c>
      <c r="D14" s="12">
        <f>VLOOKUP(B14, 'Generative Data'!$A$2:$O$201, 2, FALSE)</f>
        <v/>
      </c>
      <c r="E14" s="13">
        <f>VLOOKUP(B14, 'Generative Data'!$A$2:$O$201, 5, FALSE)</f>
        <v/>
      </c>
      <c r="F14" s="13">
        <f>VLOOKUP(B14, 'Generative Data'!$A$2:$O$201, 6, FALSE)</f>
        <v/>
      </c>
      <c r="G14" s="14">
        <f>VLOOKUP(B14, 'Generative Data'!$A$2:$O$201, 10, FALSE)</f>
        <v/>
      </c>
      <c r="H14" s="14">
        <f>VLOOKUP(B14, 'Generative Data'!$A$2:$O$201, 12, FALSE)</f>
        <v/>
      </c>
      <c r="I14" s="14">
        <f>VLOOKUP(B14, 'Generative Data'!$A$2:$O$201, 13, FALSE)</f>
        <v/>
      </c>
    </row>
    <row r="15" ht="20" customHeight="1">
      <c r="B15" s="15">
        <f>SMALL(IF('Generative Data'!$O$2:$O$201="PARETO", 'Generative Data'!$A$2:$A$201), 4)</f>
        <v/>
      </c>
      <c r="C15" s="16">
        <f>VLOOKUP(B15, 'Generative Data'!$A$2:$O$201, 7, FALSE)</f>
        <v/>
      </c>
      <c r="D15" s="17">
        <f>VLOOKUP(B15, 'Generative Data'!$A$2:$O$201, 2, FALSE)</f>
        <v/>
      </c>
      <c r="E15" s="18">
        <f>VLOOKUP(B15, 'Generative Data'!$A$2:$O$201, 5, FALSE)</f>
        <v/>
      </c>
      <c r="F15" s="18">
        <f>VLOOKUP(B15, 'Generative Data'!$A$2:$O$201, 6, FALSE)</f>
        <v/>
      </c>
      <c r="G15" s="19">
        <f>VLOOKUP(B15, 'Generative Data'!$A$2:$O$201, 10, FALSE)</f>
        <v/>
      </c>
      <c r="H15" s="19">
        <f>VLOOKUP(B15, 'Generative Data'!$A$2:$O$201, 12, FALSE)</f>
        <v/>
      </c>
      <c r="I15" s="19">
        <f>VLOOKUP(B15, 'Generative Data'!$A$2:$O$201, 13, FALSE)</f>
        <v/>
      </c>
    </row>
    <row r="16" ht="20" customHeight="1">
      <c r="B16" s="10">
        <f>SMALL(IF('Generative Data'!$O$2:$O$201="PARETO", 'Generative Data'!$A$2:$A$201), 5)</f>
        <v/>
      </c>
      <c r="C16" s="11">
        <f>VLOOKUP(B16, 'Generative Data'!$A$2:$O$201, 7, FALSE)</f>
        <v/>
      </c>
      <c r="D16" s="12">
        <f>VLOOKUP(B16, 'Generative Data'!$A$2:$O$201, 2, FALSE)</f>
        <v/>
      </c>
      <c r="E16" s="13">
        <f>VLOOKUP(B16, 'Generative Data'!$A$2:$O$201, 5, FALSE)</f>
        <v/>
      </c>
      <c r="F16" s="13">
        <f>VLOOKUP(B16, 'Generative Data'!$A$2:$O$201, 6, FALSE)</f>
        <v/>
      </c>
      <c r="G16" s="14">
        <f>VLOOKUP(B16, 'Generative Data'!$A$2:$O$201, 10, FALSE)</f>
        <v/>
      </c>
      <c r="H16" s="14">
        <f>VLOOKUP(B16, 'Generative Data'!$A$2:$O$201, 12, FALSE)</f>
        <v/>
      </c>
      <c r="I16" s="14">
        <f>VLOOKUP(B16, 'Generative Data'!$A$2:$O$201, 13, FALSE)</f>
        <v/>
      </c>
    </row>
    <row r="17" ht="20" customHeight="1">
      <c r="B17" s="15">
        <f>SMALL(IF('Generative Data'!$O$2:$O$201="PARETO", 'Generative Data'!$A$2:$A$201), 6)</f>
        <v/>
      </c>
      <c r="C17" s="16">
        <f>VLOOKUP(B17, 'Generative Data'!$A$2:$O$201, 7, FALSE)</f>
        <v/>
      </c>
      <c r="D17" s="17">
        <f>VLOOKUP(B17, 'Generative Data'!$A$2:$O$201, 2, FALSE)</f>
        <v/>
      </c>
      <c r="E17" s="18">
        <f>VLOOKUP(B17, 'Generative Data'!$A$2:$O$201, 5, FALSE)</f>
        <v/>
      </c>
      <c r="F17" s="18">
        <f>VLOOKUP(B17, 'Generative Data'!$A$2:$O$201, 6, FALSE)</f>
        <v/>
      </c>
      <c r="G17" s="19">
        <f>VLOOKUP(B17, 'Generative Data'!$A$2:$O$201, 10, FALSE)</f>
        <v/>
      </c>
      <c r="H17" s="19">
        <f>VLOOKUP(B17, 'Generative Data'!$A$2:$O$201, 12, FALSE)</f>
        <v/>
      </c>
      <c r="I17" s="19">
        <f>VLOOKUP(B17, 'Generative Data'!$A$2:$O$201, 13, FALSE)</f>
        <v/>
      </c>
    </row>
    <row r="18" ht="20" customHeight="1">
      <c r="B18" s="10">
        <f>SMALL(IF('Generative Data'!$O$2:$O$201="PARETO", 'Generative Data'!$A$2:$A$201), 7)</f>
        <v/>
      </c>
      <c r="C18" s="11">
        <f>VLOOKUP(B18, 'Generative Data'!$A$2:$O$201, 7, FALSE)</f>
        <v/>
      </c>
      <c r="D18" s="12">
        <f>VLOOKUP(B18, 'Generative Data'!$A$2:$O$201, 2, FALSE)</f>
        <v/>
      </c>
      <c r="E18" s="13">
        <f>VLOOKUP(B18, 'Generative Data'!$A$2:$O$201, 5, FALSE)</f>
        <v/>
      </c>
      <c r="F18" s="13">
        <f>VLOOKUP(B18, 'Generative Data'!$A$2:$O$201, 6, FALSE)</f>
        <v/>
      </c>
      <c r="G18" s="14">
        <f>VLOOKUP(B18, 'Generative Data'!$A$2:$O$201, 10, FALSE)</f>
        <v/>
      </c>
      <c r="H18" s="14">
        <f>VLOOKUP(B18, 'Generative Data'!$A$2:$O$201, 12, FALSE)</f>
        <v/>
      </c>
      <c r="I18" s="14">
        <f>VLOOKUP(B18, 'Generative Data'!$A$2:$O$201, 13, FALSE)</f>
        <v/>
      </c>
    </row>
    <row r="19" ht="20" customHeight="1">
      <c r="B19" s="15">
        <f>SMALL(IF('Generative Data'!$O$2:$O$201="PARETO", 'Generative Data'!$A$2:$A$201), 8)</f>
        <v/>
      </c>
      <c r="C19" s="16">
        <f>VLOOKUP(B19, 'Generative Data'!$A$2:$O$201, 7, FALSE)</f>
        <v/>
      </c>
      <c r="D19" s="17">
        <f>VLOOKUP(B19, 'Generative Data'!$A$2:$O$201, 2, FALSE)</f>
        <v/>
      </c>
      <c r="E19" s="18">
        <f>VLOOKUP(B19, 'Generative Data'!$A$2:$O$201, 5, FALSE)</f>
        <v/>
      </c>
      <c r="F19" s="18">
        <f>VLOOKUP(B19, 'Generative Data'!$A$2:$O$201, 6, FALSE)</f>
        <v/>
      </c>
      <c r="G19" s="19">
        <f>VLOOKUP(B19, 'Generative Data'!$A$2:$O$201, 10, FALSE)</f>
        <v/>
      </c>
      <c r="H19" s="19">
        <f>VLOOKUP(B19, 'Generative Data'!$A$2:$O$201, 12, FALSE)</f>
        <v/>
      </c>
      <c r="I19" s="19">
        <f>VLOOKUP(B19, 'Generative Data'!$A$2:$O$201, 13, FALSE)</f>
        <v/>
      </c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2" customWidth="1" min="5" max="5"/>
    <col width="20" customWidth="1" min="6" max="6"/>
    <col width="18" customWidth="1" min="7" max="7"/>
    <col width="36" customWidth="1" min="8" max="8"/>
    <col width="86" customWidth="1" min="9" max="9"/>
    <col width="130" customWidth="1" min="10" max="10"/>
    <col width="190" customWidth="1" min="11" max="11"/>
    <col width="74" customWidth="1" min="12" max="12"/>
    <col width="23" customWidth="1" min="13" max="13"/>
    <col width="24" customWidth="1" min="14" max="14"/>
    <col width="89" customWidth="1" min="15" max="15"/>
  </cols>
  <sheetData>
    <row r="1" ht="28" customHeight="1">
      <c r="A1" s="20" t="inlineStr">
        <is>
          <t>Iteration ID</t>
        </is>
      </c>
      <c r="B1" s="20" t="inlineStr">
        <is>
          <t>Floors</t>
        </is>
      </c>
      <c r="C1" s="20" t="inlineStr">
        <is>
          <t>Floor Area (m²)</t>
        </is>
      </c>
      <c r="D1" s="20" t="inlineStr">
        <is>
          <t>Total Area (m²)</t>
        </is>
      </c>
      <c r="E1" s="20" t="inlineStr">
        <is>
          <t>South WWR</t>
        </is>
      </c>
      <c r="F1" s="20" t="inlineStr">
        <is>
          <t>Shading Depth (m)</t>
        </is>
      </c>
      <c r="G1" s="20" t="inlineStr">
        <is>
          <t>Material Option</t>
        </is>
      </c>
      <c r="H1" s="20" t="inlineStr">
        <is>
          <t>Struct Vol (m³)</t>
        </is>
      </c>
      <c r="I1" s="20" t="inlineStr">
        <is>
          <t>Glazing Vol (m³)</t>
        </is>
      </c>
      <c r="J1" s="20" t="inlineStr">
        <is>
          <t>Embodied Carbon (tCO2e)</t>
        </is>
      </c>
      <c r="K1" s="20" t="inlineStr">
        <is>
          <t>Net EUI (kWh/m²/yr)</t>
        </is>
      </c>
      <c r="L1" s="20" t="inlineStr">
        <is>
          <t>Operational Carbon (tCO2e)</t>
        </is>
      </c>
      <c r="M1" s="20" t="inlineStr">
        <is>
          <t>Total Carbon (tCO2e)</t>
        </is>
      </c>
      <c r="N1" s="20" t="inlineStr">
        <is>
          <t>Intensity (kgCO2e/m²)</t>
        </is>
      </c>
      <c r="O1" s="20" t="inlineStr">
        <is>
          <t>Pareto Status</t>
        </is>
      </c>
    </row>
    <row r="2" ht="20" customHeight="1">
      <c r="A2" s="10" t="n">
        <v>1</v>
      </c>
      <c r="B2" s="12" t="n">
        <v>12</v>
      </c>
      <c r="C2" s="14" t="n">
        <v>1357.6</v>
      </c>
      <c r="D2" s="14">
        <f>B2*C2</f>
        <v/>
      </c>
      <c r="E2" s="13" t="n">
        <v>0.31</v>
      </c>
      <c r="F2" s="13" t="n">
        <v>1.17</v>
      </c>
      <c r="G2" s="11" t="inlineStr">
        <is>
          <t>Mass Timber</t>
        </is>
      </c>
      <c r="H2" s="14">
        <f>D2*'Parameters &amp; Inputs'!$B$15</f>
        <v/>
      </c>
      <c r="I2" s="21">
        <f>(4*SQRT(C2))*(B2*'Parameters &amp; Inputs'!$B$14)*E2*'Parameters &amp; Inputs'!$B$16</f>
        <v/>
      </c>
      <c r="J2" s="22">
        <f>((H2*IF(G2="Mass Timber",'Parameters &amp; Inputs'!$B$7,'Parameters &amp; Inputs'!$B$6)) + (I2*'Parameters &amp; Inputs'!$B$8))/1000</f>
        <v/>
      </c>
      <c r="K2" s="23">
        <f>MAX('Parameters &amp; Inputs'!$B$13, 'Parameters &amp; Inputs'!$B$9 + (E2*'Parameters &amp; Inputs'!$B$10) - (F2*'Parameters &amp; Inputs'!$B$11) - IF(G2="Concrete",'Parameters &amp; Inputs'!$B$12,0))</f>
        <v/>
      </c>
      <c r="L2" s="22">
        <f>(D2*K2*'Parameters &amp; Inputs'!$B$5*'Parameters &amp; Inputs'!$B$4)/1000</f>
        <v/>
      </c>
      <c r="M2" s="22">
        <f>J2+L2</f>
        <v/>
      </c>
      <c r="N2" s="14">
        <f>(M2*1000)/D2</f>
        <v/>
      </c>
      <c r="O2" s="11">
        <f>IF(COUNTIFS($J$2:$J$201, "&lt;"&amp;J2, $L$2:$L$201, "&lt;"&amp;L2)=0, "PARETO", "Sub-optimal")</f>
        <v/>
      </c>
    </row>
    <row r="3" ht="20" customHeight="1">
      <c r="A3" s="15" t="n">
        <v>2</v>
      </c>
      <c r="B3" s="17" t="n">
        <v>8</v>
      </c>
      <c r="C3" s="19" t="n">
        <v>870</v>
      </c>
      <c r="D3" s="19">
        <f>B3*C3</f>
        <v/>
      </c>
      <c r="E3" s="18" t="n">
        <v>0.48</v>
      </c>
      <c r="F3" s="18" t="n">
        <v>0.5</v>
      </c>
      <c r="G3" s="16" t="inlineStr">
        <is>
          <t>Concrete</t>
        </is>
      </c>
      <c r="H3" s="19">
        <f>D3*'Parameters &amp; Inputs'!$B$15</f>
        <v/>
      </c>
      <c r="I3" s="24">
        <f>(4*SQRT(C3))*(B3*'Parameters &amp; Inputs'!$B$14)*E3*'Parameters &amp; Inputs'!$B$16</f>
        <v/>
      </c>
      <c r="J3" s="25">
        <f>((H3*IF(G3="Mass Timber",'Parameters &amp; Inputs'!$B$7,'Parameters &amp; Inputs'!$B$6)) + (I3*'Parameters &amp; Inputs'!$B$8))/1000</f>
        <v/>
      </c>
      <c r="K3" s="26">
        <f>MAX('Parameters &amp; Inputs'!$B$13, 'Parameters &amp; Inputs'!$B$9 + (E3*'Parameters &amp; Inputs'!$B$10) - (F3*'Parameters &amp; Inputs'!$B$11) - IF(G3="Concrete",'Parameters &amp; Inputs'!$B$12,0))</f>
        <v/>
      </c>
      <c r="L3" s="25">
        <f>(D3*K3*'Parameters &amp; Inputs'!$B$5*'Parameters &amp; Inputs'!$B$4)/1000</f>
        <v/>
      </c>
      <c r="M3" s="25">
        <f>J3+L3</f>
        <v/>
      </c>
      <c r="N3" s="19">
        <f>(M3*1000)/D3</f>
        <v/>
      </c>
      <c r="O3" s="16">
        <f>IF(COUNTIFS($J$2:$J$201, "&lt;"&amp;J3, $L$2:$L$201, "&lt;"&amp;L3)=0, "PARETO", "Sub-optimal")</f>
        <v/>
      </c>
    </row>
    <row r="4" ht="20" customHeight="1">
      <c r="A4" s="10" t="n">
        <v>3</v>
      </c>
      <c r="B4" s="12" t="n">
        <v>8</v>
      </c>
      <c r="C4" s="14" t="n">
        <v>814.4</v>
      </c>
      <c r="D4" s="14">
        <f>B4*C4</f>
        <v/>
      </c>
      <c r="E4" s="13" t="n">
        <v>0.78</v>
      </c>
      <c r="F4" s="13" t="n">
        <v>1.25</v>
      </c>
      <c r="G4" s="11" t="inlineStr">
        <is>
          <t>Concrete</t>
        </is>
      </c>
      <c r="H4" s="14">
        <f>D4*'Parameters &amp; Inputs'!$B$15</f>
        <v/>
      </c>
      <c r="I4" s="21">
        <f>(4*SQRT(C4))*(B4*'Parameters &amp; Inputs'!$B$14)*E4*'Parameters &amp; Inputs'!$B$16</f>
        <v/>
      </c>
      <c r="J4" s="22">
        <f>((H4*IF(G4="Mass Timber",'Parameters &amp; Inputs'!$B$7,'Parameters &amp; Inputs'!$B$6)) + (I4*'Parameters &amp; Inputs'!$B$8))/1000</f>
        <v/>
      </c>
      <c r="K4" s="23">
        <f>MAX('Parameters &amp; Inputs'!$B$13, 'Parameters &amp; Inputs'!$B$9 + (E4*'Parameters &amp; Inputs'!$B$10) - (F4*'Parameters &amp; Inputs'!$B$11) - IF(G4="Concrete",'Parameters &amp; Inputs'!$B$12,0))</f>
        <v/>
      </c>
      <c r="L4" s="22">
        <f>(D4*K4*'Parameters &amp; Inputs'!$B$5*'Parameters &amp; Inputs'!$B$4)/1000</f>
        <v/>
      </c>
      <c r="M4" s="22">
        <f>J4+L4</f>
        <v/>
      </c>
      <c r="N4" s="14">
        <f>(M4*1000)/D4</f>
        <v/>
      </c>
      <c r="O4" s="11">
        <f>IF(COUNTIFS($J$2:$J$201, "&lt;"&amp;J4, $L$2:$L$201, "&lt;"&amp;L4)=0, "PARETO", "Sub-optimal")</f>
        <v/>
      </c>
    </row>
    <row r="5" ht="20" customHeight="1">
      <c r="A5" s="15" t="n">
        <v>4</v>
      </c>
      <c r="B5" s="17" t="n">
        <v>10</v>
      </c>
      <c r="C5" s="19" t="n">
        <v>1232.2</v>
      </c>
      <c r="D5" s="19">
        <f>B5*C5</f>
        <v/>
      </c>
      <c r="E5" s="18" t="n">
        <v>0.57</v>
      </c>
      <c r="F5" s="18" t="n">
        <v>0.01</v>
      </c>
      <c r="G5" s="16" t="inlineStr">
        <is>
          <t>Concrete</t>
        </is>
      </c>
      <c r="H5" s="19">
        <f>D5*'Parameters &amp; Inputs'!$B$15</f>
        <v/>
      </c>
      <c r="I5" s="24">
        <f>(4*SQRT(C5))*(B5*'Parameters &amp; Inputs'!$B$14)*E5*'Parameters &amp; Inputs'!$B$16</f>
        <v/>
      </c>
      <c r="J5" s="25">
        <f>((H5*IF(G5="Mass Timber",'Parameters &amp; Inputs'!$B$7,'Parameters &amp; Inputs'!$B$6)) + (I5*'Parameters &amp; Inputs'!$B$8))/1000</f>
        <v/>
      </c>
      <c r="K5" s="26">
        <f>MAX('Parameters &amp; Inputs'!$B$13, 'Parameters &amp; Inputs'!$B$9 + (E5*'Parameters &amp; Inputs'!$B$10) - (F5*'Parameters &amp; Inputs'!$B$11) - IF(G5="Concrete",'Parameters &amp; Inputs'!$B$12,0))</f>
        <v/>
      </c>
      <c r="L5" s="25">
        <f>(D5*K5*'Parameters &amp; Inputs'!$B$5*'Parameters &amp; Inputs'!$B$4)/1000</f>
        <v/>
      </c>
      <c r="M5" s="25">
        <f>J5+L5</f>
        <v/>
      </c>
      <c r="N5" s="19">
        <f>(M5*1000)/D5</f>
        <v/>
      </c>
      <c r="O5" s="16">
        <f>IF(COUNTIFS($J$2:$J$201, "&lt;"&amp;J5, $L$2:$L$201, "&lt;"&amp;L5)=0, "PARETO", "Sub-optimal")</f>
        <v/>
      </c>
    </row>
    <row r="6" ht="20" customHeight="1">
      <c r="A6" s="10" t="n">
        <v>5</v>
      </c>
      <c r="B6" s="12" t="n">
        <v>8</v>
      </c>
      <c r="C6" s="14" t="n">
        <v>1067.7</v>
      </c>
      <c r="D6" s="14">
        <f>B6*C6</f>
        <v/>
      </c>
      <c r="E6" s="13" t="n">
        <v>0.79</v>
      </c>
      <c r="F6" s="13" t="n">
        <v>0.7</v>
      </c>
      <c r="G6" s="11" t="inlineStr">
        <is>
          <t>Mass Timber</t>
        </is>
      </c>
      <c r="H6" s="14">
        <f>D6*'Parameters &amp; Inputs'!$B$15</f>
        <v/>
      </c>
      <c r="I6" s="21">
        <f>(4*SQRT(C6))*(B6*'Parameters &amp; Inputs'!$B$14)*E6*'Parameters &amp; Inputs'!$B$16</f>
        <v/>
      </c>
      <c r="J6" s="22">
        <f>((H6*IF(G6="Mass Timber",'Parameters &amp; Inputs'!$B$7,'Parameters &amp; Inputs'!$B$6)) + (I6*'Parameters &amp; Inputs'!$B$8))/1000</f>
        <v/>
      </c>
      <c r="K6" s="23">
        <f>MAX('Parameters &amp; Inputs'!$B$13, 'Parameters &amp; Inputs'!$B$9 + (E6*'Parameters &amp; Inputs'!$B$10) - (F6*'Parameters &amp; Inputs'!$B$11) - IF(G6="Concrete",'Parameters &amp; Inputs'!$B$12,0))</f>
        <v/>
      </c>
      <c r="L6" s="22">
        <f>(D6*K6*'Parameters &amp; Inputs'!$B$5*'Parameters &amp; Inputs'!$B$4)/1000</f>
        <v/>
      </c>
      <c r="M6" s="22">
        <f>J6+L6</f>
        <v/>
      </c>
      <c r="N6" s="14">
        <f>(M6*1000)/D6</f>
        <v/>
      </c>
      <c r="O6" s="11">
        <f>IF(COUNTIFS($J$2:$J$201, "&lt;"&amp;J6, $L$2:$L$201, "&lt;"&amp;L6)=0, "PARETO", "Sub-optimal")</f>
        <v/>
      </c>
    </row>
    <row r="7" ht="20" customHeight="1">
      <c r="A7" s="15" t="n">
        <v>6</v>
      </c>
      <c r="B7" s="17" t="n">
        <v>12</v>
      </c>
      <c r="C7" s="19" t="n">
        <v>919.4</v>
      </c>
      <c r="D7" s="19">
        <f>B7*C7</f>
        <v/>
      </c>
      <c r="E7" s="18" t="n">
        <v>0.24</v>
      </c>
      <c r="F7" s="18" t="n">
        <v>1.42</v>
      </c>
      <c r="G7" s="16" t="inlineStr">
        <is>
          <t>Mass Timber</t>
        </is>
      </c>
      <c r="H7" s="19">
        <f>D7*'Parameters &amp; Inputs'!$B$15</f>
        <v/>
      </c>
      <c r="I7" s="24">
        <f>(4*SQRT(C7))*(B7*'Parameters &amp; Inputs'!$B$14)*E7*'Parameters &amp; Inputs'!$B$16</f>
        <v/>
      </c>
      <c r="J7" s="25">
        <f>((H7*IF(G7="Mass Timber",'Parameters &amp; Inputs'!$B$7,'Parameters &amp; Inputs'!$B$6)) + (I7*'Parameters &amp; Inputs'!$B$8))/1000</f>
        <v/>
      </c>
      <c r="K7" s="26">
        <f>MAX('Parameters &amp; Inputs'!$B$13, 'Parameters &amp; Inputs'!$B$9 + (E7*'Parameters &amp; Inputs'!$B$10) - (F7*'Parameters &amp; Inputs'!$B$11) - IF(G7="Concrete",'Parameters &amp; Inputs'!$B$12,0))</f>
        <v/>
      </c>
      <c r="L7" s="25">
        <f>(D7*K7*'Parameters &amp; Inputs'!$B$5*'Parameters &amp; Inputs'!$B$4)/1000</f>
        <v/>
      </c>
      <c r="M7" s="25">
        <f>J7+L7</f>
        <v/>
      </c>
      <c r="N7" s="19">
        <f>(M7*1000)/D7</f>
        <v/>
      </c>
      <c r="O7" s="16">
        <f>IF(COUNTIFS($J$2:$J$201, "&lt;"&amp;J7, $L$2:$L$201, "&lt;"&amp;L7)=0, "PARETO", "Sub-optimal")</f>
        <v/>
      </c>
    </row>
    <row r="8" ht="20" customHeight="1">
      <c r="A8" s="10" t="n">
        <v>7</v>
      </c>
      <c r="B8" s="12" t="n">
        <v>7</v>
      </c>
      <c r="C8" s="14" t="n">
        <v>1069.8</v>
      </c>
      <c r="D8" s="14">
        <f>B8*C8</f>
        <v/>
      </c>
      <c r="E8" s="13" t="n">
        <v>0.21</v>
      </c>
      <c r="F8" s="13" t="n">
        <v>0.35</v>
      </c>
      <c r="G8" s="11" t="inlineStr">
        <is>
          <t>Concrete</t>
        </is>
      </c>
      <c r="H8" s="14">
        <f>D8*'Parameters &amp; Inputs'!$B$15</f>
        <v/>
      </c>
      <c r="I8" s="21">
        <f>(4*SQRT(C8))*(B8*'Parameters &amp; Inputs'!$B$14)*E8*'Parameters &amp; Inputs'!$B$16</f>
        <v/>
      </c>
      <c r="J8" s="22">
        <f>((H8*IF(G8="Mass Timber",'Parameters &amp; Inputs'!$B$7,'Parameters &amp; Inputs'!$B$6)) + (I8*'Parameters &amp; Inputs'!$B$8))/1000</f>
        <v/>
      </c>
      <c r="K8" s="23">
        <f>MAX('Parameters &amp; Inputs'!$B$13, 'Parameters &amp; Inputs'!$B$9 + (E8*'Parameters &amp; Inputs'!$B$10) - (F8*'Parameters &amp; Inputs'!$B$11) - IF(G8="Concrete",'Parameters &amp; Inputs'!$B$12,0))</f>
        <v/>
      </c>
      <c r="L8" s="22">
        <f>(D8*K8*'Parameters &amp; Inputs'!$B$5*'Parameters &amp; Inputs'!$B$4)/1000</f>
        <v/>
      </c>
      <c r="M8" s="22">
        <f>J8+L8</f>
        <v/>
      </c>
      <c r="N8" s="14">
        <f>(M8*1000)/D8</f>
        <v/>
      </c>
      <c r="O8" s="11">
        <f>IF(COUNTIFS($J$2:$J$201, "&lt;"&amp;J8, $L$2:$L$201, "&lt;"&amp;L8)=0, "PARETO", "Sub-optimal")</f>
        <v/>
      </c>
    </row>
    <row r="9" ht="20" customHeight="1">
      <c r="A9" s="15" t="n">
        <v>8</v>
      </c>
      <c r="B9" s="17" t="n">
        <v>12</v>
      </c>
      <c r="C9" s="19" t="n">
        <v>1227</v>
      </c>
      <c r="D9" s="19">
        <f>B9*C9</f>
        <v/>
      </c>
      <c r="E9" s="18" t="n">
        <v>0.7</v>
      </c>
      <c r="F9" s="18" t="n">
        <v>0.26</v>
      </c>
      <c r="G9" s="16" t="inlineStr">
        <is>
          <t>Concrete</t>
        </is>
      </c>
      <c r="H9" s="19">
        <f>D9*'Parameters &amp; Inputs'!$B$15</f>
        <v/>
      </c>
      <c r="I9" s="24">
        <f>(4*SQRT(C9))*(B9*'Parameters &amp; Inputs'!$B$14)*E9*'Parameters &amp; Inputs'!$B$16</f>
        <v/>
      </c>
      <c r="J9" s="25">
        <f>((H9*IF(G9="Mass Timber",'Parameters &amp; Inputs'!$B$7,'Parameters &amp; Inputs'!$B$6)) + (I9*'Parameters &amp; Inputs'!$B$8))/1000</f>
        <v/>
      </c>
      <c r="K9" s="26">
        <f>MAX('Parameters &amp; Inputs'!$B$13, 'Parameters &amp; Inputs'!$B$9 + (E9*'Parameters &amp; Inputs'!$B$10) - (F9*'Parameters &amp; Inputs'!$B$11) - IF(G9="Concrete",'Parameters &amp; Inputs'!$B$12,0))</f>
        <v/>
      </c>
      <c r="L9" s="25">
        <f>(D9*K9*'Parameters &amp; Inputs'!$B$5*'Parameters &amp; Inputs'!$B$4)/1000</f>
        <v/>
      </c>
      <c r="M9" s="25">
        <f>J9+L9</f>
        <v/>
      </c>
      <c r="N9" s="19">
        <f>(M9*1000)/D9</f>
        <v/>
      </c>
      <c r="O9" s="16">
        <f>IF(COUNTIFS($J$2:$J$201, "&lt;"&amp;J9, $L$2:$L$201, "&lt;"&amp;L9)=0, "PARETO", "Sub-optimal")</f>
        <v/>
      </c>
    </row>
    <row r="10" ht="20" customHeight="1">
      <c r="A10" s="10" t="n">
        <v>9</v>
      </c>
      <c r="B10" s="12" t="n">
        <v>7</v>
      </c>
      <c r="C10" s="14" t="n">
        <v>1263.8</v>
      </c>
      <c r="D10" s="14">
        <f>B10*C10</f>
        <v/>
      </c>
      <c r="E10" s="13" t="n">
        <v>0.39</v>
      </c>
      <c r="F10" s="13" t="n">
        <v>0.78</v>
      </c>
      <c r="G10" s="11" t="inlineStr">
        <is>
          <t>Mass Timber</t>
        </is>
      </c>
      <c r="H10" s="14">
        <f>D10*'Parameters &amp; Inputs'!$B$15</f>
        <v/>
      </c>
      <c r="I10" s="21">
        <f>(4*SQRT(C10))*(B10*'Parameters &amp; Inputs'!$B$14)*E10*'Parameters &amp; Inputs'!$B$16</f>
        <v/>
      </c>
      <c r="J10" s="22">
        <f>((H10*IF(G10="Mass Timber",'Parameters &amp; Inputs'!$B$7,'Parameters &amp; Inputs'!$B$6)) + (I10*'Parameters &amp; Inputs'!$B$8))/1000</f>
        <v/>
      </c>
      <c r="K10" s="23">
        <f>MAX('Parameters &amp; Inputs'!$B$13, 'Parameters &amp; Inputs'!$B$9 + (E10*'Parameters &amp; Inputs'!$B$10) - (F10*'Parameters &amp; Inputs'!$B$11) - IF(G10="Concrete",'Parameters &amp; Inputs'!$B$12,0))</f>
        <v/>
      </c>
      <c r="L10" s="22">
        <f>(D10*K10*'Parameters &amp; Inputs'!$B$5*'Parameters &amp; Inputs'!$B$4)/1000</f>
        <v/>
      </c>
      <c r="M10" s="22">
        <f>J10+L10</f>
        <v/>
      </c>
      <c r="N10" s="14">
        <f>(M10*1000)/D10</f>
        <v/>
      </c>
      <c r="O10" s="11">
        <f>IF(COUNTIFS($J$2:$J$201, "&lt;"&amp;J10, $L$2:$L$201, "&lt;"&amp;L10)=0, "PARETO", "Sub-optimal")</f>
        <v/>
      </c>
    </row>
    <row r="11" ht="20" customHeight="1">
      <c r="A11" s="15" t="n">
        <v>10</v>
      </c>
      <c r="B11" s="17" t="n">
        <v>11</v>
      </c>
      <c r="C11" s="19" t="n">
        <v>821.9</v>
      </c>
      <c r="D11" s="19">
        <f>B11*C11</f>
        <v/>
      </c>
      <c r="E11" s="18" t="n">
        <v>0.71</v>
      </c>
      <c r="F11" s="18" t="n">
        <v>0.67</v>
      </c>
      <c r="G11" s="16" t="inlineStr">
        <is>
          <t>Concrete</t>
        </is>
      </c>
      <c r="H11" s="19">
        <f>D11*'Parameters &amp; Inputs'!$B$15</f>
        <v/>
      </c>
      <c r="I11" s="24">
        <f>(4*SQRT(C11))*(B11*'Parameters &amp; Inputs'!$B$14)*E11*'Parameters &amp; Inputs'!$B$16</f>
        <v/>
      </c>
      <c r="J11" s="25">
        <f>((H11*IF(G11="Mass Timber",'Parameters &amp; Inputs'!$B$7,'Parameters &amp; Inputs'!$B$6)) + (I11*'Parameters &amp; Inputs'!$B$8))/1000</f>
        <v/>
      </c>
      <c r="K11" s="26">
        <f>MAX('Parameters &amp; Inputs'!$B$13, 'Parameters &amp; Inputs'!$B$9 + (E11*'Parameters &amp; Inputs'!$B$10) - (F11*'Parameters &amp; Inputs'!$B$11) - IF(G11="Concrete",'Parameters &amp; Inputs'!$B$12,0))</f>
        <v/>
      </c>
      <c r="L11" s="25">
        <f>(D11*K11*'Parameters &amp; Inputs'!$B$5*'Parameters &amp; Inputs'!$B$4)/1000</f>
        <v/>
      </c>
      <c r="M11" s="25">
        <f>J11+L11</f>
        <v/>
      </c>
      <c r="N11" s="19">
        <f>(M11*1000)/D11</f>
        <v/>
      </c>
      <c r="O11" s="16">
        <f>IF(COUNTIFS($J$2:$J$201, "&lt;"&amp;J11, $L$2:$L$201, "&lt;"&amp;L11)=0, "PARETO", "Sub-optimal")</f>
        <v/>
      </c>
    </row>
    <row r="12" ht="20" customHeight="1">
      <c r="A12" s="10" t="n">
        <v>11</v>
      </c>
      <c r="B12" s="12" t="n">
        <v>9</v>
      </c>
      <c r="C12" s="14" t="n">
        <v>1218.5</v>
      </c>
      <c r="D12" s="14">
        <f>B12*C12</f>
        <v/>
      </c>
      <c r="E12" s="13" t="n">
        <v>0.75</v>
      </c>
      <c r="F12" s="13" t="n">
        <v>0.13</v>
      </c>
      <c r="G12" s="11" t="inlineStr">
        <is>
          <t>Concrete</t>
        </is>
      </c>
      <c r="H12" s="14">
        <f>D12*'Parameters &amp; Inputs'!$B$15</f>
        <v/>
      </c>
      <c r="I12" s="21">
        <f>(4*SQRT(C12))*(B12*'Parameters &amp; Inputs'!$B$14)*E12*'Parameters &amp; Inputs'!$B$16</f>
        <v/>
      </c>
      <c r="J12" s="22">
        <f>((H12*IF(G12="Mass Timber",'Parameters &amp; Inputs'!$B$7,'Parameters &amp; Inputs'!$B$6)) + (I12*'Parameters &amp; Inputs'!$B$8))/1000</f>
        <v/>
      </c>
      <c r="K12" s="23">
        <f>MAX('Parameters &amp; Inputs'!$B$13, 'Parameters &amp; Inputs'!$B$9 + (E12*'Parameters &amp; Inputs'!$B$10) - (F12*'Parameters &amp; Inputs'!$B$11) - IF(G12="Concrete",'Parameters &amp; Inputs'!$B$12,0))</f>
        <v/>
      </c>
      <c r="L12" s="22">
        <f>(D12*K12*'Parameters &amp; Inputs'!$B$5*'Parameters &amp; Inputs'!$B$4)/1000</f>
        <v/>
      </c>
      <c r="M12" s="22">
        <f>J12+L12</f>
        <v/>
      </c>
      <c r="N12" s="14">
        <f>(M12*1000)/D12</f>
        <v/>
      </c>
      <c r="O12" s="11">
        <f>IF(COUNTIFS($J$2:$J$201, "&lt;"&amp;J12, $L$2:$L$201, "&lt;"&amp;L12)=0, "PARETO", "Sub-optimal")</f>
        <v/>
      </c>
    </row>
    <row r="13" ht="20" customHeight="1">
      <c r="A13" s="15" t="n">
        <v>12</v>
      </c>
      <c r="B13" s="17" t="n">
        <v>14</v>
      </c>
      <c r="C13" s="19" t="n">
        <v>1472.8</v>
      </c>
      <c r="D13" s="19">
        <f>B13*C13</f>
        <v/>
      </c>
      <c r="E13" s="18" t="n">
        <v>0.71</v>
      </c>
      <c r="F13" s="18" t="n">
        <v>1.12</v>
      </c>
      <c r="G13" s="16" t="inlineStr">
        <is>
          <t>Mass Timber</t>
        </is>
      </c>
      <c r="H13" s="19">
        <f>D13*'Parameters &amp; Inputs'!$B$15</f>
        <v/>
      </c>
      <c r="I13" s="24">
        <f>(4*SQRT(C13))*(B13*'Parameters &amp; Inputs'!$B$14)*E13*'Parameters &amp; Inputs'!$B$16</f>
        <v/>
      </c>
      <c r="J13" s="25">
        <f>((H13*IF(G13="Mass Timber",'Parameters &amp; Inputs'!$B$7,'Parameters &amp; Inputs'!$B$6)) + (I13*'Parameters &amp; Inputs'!$B$8))/1000</f>
        <v/>
      </c>
      <c r="K13" s="26">
        <f>MAX('Parameters &amp; Inputs'!$B$13, 'Parameters &amp; Inputs'!$B$9 + (E13*'Parameters &amp; Inputs'!$B$10) - (F13*'Parameters &amp; Inputs'!$B$11) - IF(G13="Concrete",'Parameters &amp; Inputs'!$B$12,0))</f>
        <v/>
      </c>
      <c r="L13" s="25">
        <f>(D13*K13*'Parameters &amp; Inputs'!$B$5*'Parameters &amp; Inputs'!$B$4)/1000</f>
        <v/>
      </c>
      <c r="M13" s="25">
        <f>J13+L13</f>
        <v/>
      </c>
      <c r="N13" s="19">
        <f>(M13*1000)/D13</f>
        <v/>
      </c>
      <c r="O13" s="16">
        <f>IF(COUNTIFS($J$2:$J$201, "&lt;"&amp;J13, $L$2:$L$201, "&lt;"&amp;L13)=0, "PARETO", "Sub-optimal")</f>
        <v/>
      </c>
    </row>
    <row r="14" ht="20" customHeight="1">
      <c r="A14" s="10" t="n">
        <v>13</v>
      </c>
      <c r="B14" s="12" t="n">
        <v>13</v>
      </c>
      <c r="C14" s="14" t="n">
        <v>1049.7</v>
      </c>
      <c r="D14" s="14">
        <f>B14*C14</f>
        <v/>
      </c>
      <c r="E14" s="13" t="n">
        <v>0.37</v>
      </c>
      <c r="F14" s="13" t="n">
        <v>0.8100000000000001</v>
      </c>
      <c r="G14" s="11" t="inlineStr">
        <is>
          <t>Concrete</t>
        </is>
      </c>
      <c r="H14" s="14">
        <f>D14*'Parameters &amp; Inputs'!$B$15</f>
        <v/>
      </c>
      <c r="I14" s="21">
        <f>(4*SQRT(C14))*(B14*'Parameters &amp; Inputs'!$B$14)*E14*'Parameters &amp; Inputs'!$B$16</f>
        <v/>
      </c>
      <c r="J14" s="22">
        <f>((H14*IF(G14="Mass Timber",'Parameters &amp; Inputs'!$B$7,'Parameters &amp; Inputs'!$B$6)) + (I14*'Parameters &amp; Inputs'!$B$8))/1000</f>
        <v/>
      </c>
      <c r="K14" s="23">
        <f>MAX('Parameters &amp; Inputs'!$B$13, 'Parameters &amp; Inputs'!$B$9 + (E14*'Parameters &amp; Inputs'!$B$10) - (F14*'Parameters &amp; Inputs'!$B$11) - IF(G14="Concrete",'Parameters &amp; Inputs'!$B$12,0))</f>
        <v/>
      </c>
      <c r="L14" s="22">
        <f>(D14*K14*'Parameters &amp; Inputs'!$B$5*'Parameters &amp; Inputs'!$B$4)/1000</f>
        <v/>
      </c>
      <c r="M14" s="22">
        <f>J14+L14</f>
        <v/>
      </c>
      <c r="N14" s="14">
        <f>(M14*1000)/D14</f>
        <v/>
      </c>
      <c r="O14" s="11">
        <f>IF(COUNTIFS($J$2:$J$201, "&lt;"&amp;J14, $L$2:$L$201, "&lt;"&amp;L14)=0, "PARETO", "Sub-optimal")</f>
        <v/>
      </c>
    </row>
    <row r="15" ht="20" customHeight="1">
      <c r="A15" s="15" t="n">
        <v>14</v>
      </c>
      <c r="B15" s="17" t="n">
        <v>6</v>
      </c>
      <c r="C15" s="19" t="n">
        <v>810.9</v>
      </c>
      <c r="D15" s="19">
        <f>B15*C15</f>
        <v/>
      </c>
      <c r="E15" s="18" t="n">
        <v>0.45</v>
      </c>
      <c r="F15" s="18" t="n">
        <v>0.59</v>
      </c>
      <c r="G15" s="16" t="inlineStr">
        <is>
          <t>Concrete</t>
        </is>
      </c>
      <c r="H15" s="19">
        <f>D15*'Parameters &amp; Inputs'!$B$15</f>
        <v/>
      </c>
      <c r="I15" s="24">
        <f>(4*SQRT(C15))*(B15*'Parameters &amp; Inputs'!$B$14)*E15*'Parameters &amp; Inputs'!$B$16</f>
        <v/>
      </c>
      <c r="J15" s="25">
        <f>((H15*IF(G15="Mass Timber",'Parameters &amp; Inputs'!$B$7,'Parameters &amp; Inputs'!$B$6)) + (I15*'Parameters &amp; Inputs'!$B$8))/1000</f>
        <v/>
      </c>
      <c r="K15" s="26">
        <f>MAX('Parameters &amp; Inputs'!$B$13, 'Parameters &amp; Inputs'!$B$9 + (E15*'Parameters &amp; Inputs'!$B$10) - (F15*'Parameters &amp; Inputs'!$B$11) - IF(G15="Concrete",'Parameters &amp; Inputs'!$B$12,0))</f>
        <v/>
      </c>
      <c r="L15" s="25">
        <f>(D15*K15*'Parameters &amp; Inputs'!$B$5*'Parameters &amp; Inputs'!$B$4)/1000</f>
        <v/>
      </c>
      <c r="M15" s="25">
        <f>J15+L15</f>
        <v/>
      </c>
      <c r="N15" s="19">
        <f>(M15*1000)/D15</f>
        <v/>
      </c>
      <c r="O15" s="16">
        <f>IF(COUNTIFS($J$2:$J$201, "&lt;"&amp;J15, $L$2:$L$201, "&lt;"&amp;L15)=0, "PARETO", "Sub-optimal")</f>
        <v/>
      </c>
    </row>
    <row r="16" ht="20" customHeight="1">
      <c r="A16" s="10" t="n">
        <v>15</v>
      </c>
      <c r="B16" s="12" t="n">
        <v>8</v>
      </c>
      <c r="C16" s="14" t="n">
        <v>1294.8</v>
      </c>
      <c r="D16" s="14">
        <f>B16*C16</f>
        <v/>
      </c>
      <c r="E16" s="13" t="n">
        <v>0.64</v>
      </c>
      <c r="F16" s="13" t="n">
        <v>1.16</v>
      </c>
      <c r="G16" s="11" t="inlineStr">
        <is>
          <t>Concrete</t>
        </is>
      </c>
      <c r="H16" s="14">
        <f>D16*'Parameters &amp; Inputs'!$B$15</f>
        <v/>
      </c>
      <c r="I16" s="21">
        <f>(4*SQRT(C16))*(B16*'Parameters &amp; Inputs'!$B$14)*E16*'Parameters &amp; Inputs'!$B$16</f>
        <v/>
      </c>
      <c r="J16" s="22">
        <f>((H16*IF(G16="Mass Timber",'Parameters &amp; Inputs'!$B$7,'Parameters &amp; Inputs'!$B$6)) + (I16*'Parameters &amp; Inputs'!$B$8))/1000</f>
        <v/>
      </c>
      <c r="K16" s="23">
        <f>MAX('Parameters &amp; Inputs'!$B$13, 'Parameters &amp; Inputs'!$B$9 + (E16*'Parameters &amp; Inputs'!$B$10) - (F16*'Parameters &amp; Inputs'!$B$11) - IF(G16="Concrete",'Parameters &amp; Inputs'!$B$12,0))</f>
        <v/>
      </c>
      <c r="L16" s="22">
        <f>(D16*K16*'Parameters &amp; Inputs'!$B$5*'Parameters &amp; Inputs'!$B$4)/1000</f>
        <v/>
      </c>
      <c r="M16" s="22">
        <f>J16+L16</f>
        <v/>
      </c>
      <c r="N16" s="14">
        <f>(M16*1000)/D16</f>
        <v/>
      </c>
      <c r="O16" s="11">
        <f>IF(COUNTIFS($J$2:$J$201, "&lt;"&amp;J16, $L$2:$L$201, "&lt;"&amp;L16)=0, "PARETO", "Sub-optimal")</f>
        <v/>
      </c>
    </row>
    <row r="17" ht="20" customHeight="1">
      <c r="A17" s="15" t="n">
        <v>16</v>
      </c>
      <c r="B17" s="17" t="n">
        <v>12</v>
      </c>
      <c r="C17" s="19" t="n">
        <v>1255.8</v>
      </c>
      <c r="D17" s="19">
        <f>B17*C17</f>
        <v/>
      </c>
      <c r="E17" s="18" t="n">
        <v>0.75</v>
      </c>
      <c r="F17" s="18" t="n">
        <v>1.28</v>
      </c>
      <c r="G17" s="16" t="inlineStr">
        <is>
          <t>Concrete</t>
        </is>
      </c>
      <c r="H17" s="19">
        <f>D17*'Parameters &amp; Inputs'!$B$15</f>
        <v/>
      </c>
      <c r="I17" s="24">
        <f>(4*SQRT(C17))*(B17*'Parameters &amp; Inputs'!$B$14)*E17*'Parameters &amp; Inputs'!$B$16</f>
        <v/>
      </c>
      <c r="J17" s="25">
        <f>((H17*IF(G17="Mass Timber",'Parameters &amp; Inputs'!$B$7,'Parameters &amp; Inputs'!$B$6)) + (I17*'Parameters &amp; Inputs'!$B$8))/1000</f>
        <v/>
      </c>
      <c r="K17" s="26">
        <f>MAX('Parameters &amp; Inputs'!$B$13, 'Parameters &amp; Inputs'!$B$9 + (E17*'Parameters &amp; Inputs'!$B$10) - (F17*'Parameters &amp; Inputs'!$B$11) - IF(G17="Concrete",'Parameters &amp; Inputs'!$B$12,0))</f>
        <v/>
      </c>
      <c r="L17" s="25">
        <f>(D17*K17*'Parameters &amp; Inputs'!$B$5*'Parameters &amp; Inputs'!$B$4)/1000</f>
        <v/>
      </c>
      <c r="M17" s="25">
        <f>J17+L17</f>
        <v/>
      </c>
      <c r="N17" s="19">
        <f>(M17*1000)/D17</f>
        <v/>
      </c>
      <c r="O17" s="16">
        <f>IF(COUNTIFS($J$2:$J$201, "&lt;"&amp;J17, $L$2:$L$201, "&lt;"&amp;L17)=0, "PARETO", "Sub-optimal")</f>
        <v/>
      </c>
    </row>
    <row r="18" ht="20" customHeight="1">
      <c r="A18" s="10" t="n">
        <v>17</v>
      </c>
      <c r="B18" s="12" t="n">
        <v>6</v>
      </c>
      <c r="C18" s="14" t="n">
        <v>844.5</v>
      </c>
      <c r="D18" s="14">
        <f>B18*C18</f>
        <v/>
      </c>
      <c r="E18" s="13" t="n">
        <v>0.39</v>
      </c>
      <c r="F18" s="13" t="n">
        <v>0.49</v>
      </c>
      <c r="G18" s="11" t="inlineStr">
        <is>
          <t>Mass Timber</t>
        </is>
      </c>
      <c r="H18" s="14">
        <f>D18*'Parameters &amp; Inputs'!$B$15</f>
        <v/>
      </c>
      <c r="I18" s="21">
        <f>(4*SQRT(C18))*(B18*'Parameters &amp; Inputs'!$B$14)*E18*'Parameters &amp; Inputs'!$B$16</f>
        <v/>
      </c>
      <c r="J18" s="22">
        <f>((H18*IF(G18="Mass Timber",'Parameters &amp; Inputs'!$B$7,'Parameters &amp; Inputs'!$B$6)) + (I18*'Parameters &amp; Inputs'!$B$8))/1000</f>
        <v/>
      </c>
      <c r="K18" s="23">
        <f>MAX('Parameters &amp; Inputs'!$B$13, 'Parameters &amp; Inputs'!$B$9 + (E18*'Parameters &amp; Inputs'!$B$10) - (F18*'Parameters &amp; Inputs'!$B$11) - IF(G18="Concrete",'Parameters &amp; Inputs'!$B$12,0))</f>
        <v/>
      </c>
      <c r="L18" s="22">
        <f>(D18*K18*'Parameters &amp; Inputs'!$B$5*'Parameters &amp; Inputs'!$B$4)/1000</f>
        <v/>
      </c>
      <c r="M18" s="22">
        <f>J18+L18</f>
        <v/>
      </c>
      <c r="N18" s="14">
        <f>(M18*1000)/D18</f>
        <v/>
      </c>
      <c r="O18" s="11">
        <f>IF(COUNTIFS($J$2:$J$201, "&lt;"&amp;J18, $L$2:$L$201, "&lt;"&amp;L18)=0, "PARETO", "Sub-optimal")</f>
        <v/>
      </c>
    </row>
    <row r="19" ht="20" customHeight="1">
      <c r="A19" s="15" t="n">
        <v>18</v>
      </c>
      <c r="B19" s="17" t="n">
        <v>13</v>
      </c>
      <c r="C19" s="19" t="n">
        <v>992.3</v>
      </c>
      <c r="D19" s="19">
        <f>B19*C19</f>
        <v/>
      </c>
      <c r="E19" s="18" t="n">
        <v>0.54</v>
      </c>
      <c r="F19" s="18" t="n">
        <v>0.57</v>
      </c>
      <c r="G19" s="16" t="inlineStr">
        <is>
          <t>Mass Timber</t>
        </is>
      </c>
      <c r="H19" s="19">
        <f>D19*'Parameters &amp; Inputs'!$B$15</f>
        <v/>
      </c>
      <c r="I19" s="24">
        <f>(4*SQRT(C19))*(B19*'Parameters &amp; Inputs'!$B$14)*E19*'Parameters &amp; Inputs'!$B$16</f>
        <v/>
      </c>
      <c r="J19" s="25">
        <f>((H19*IF(G19="Mass Timber",'Parameters &amp; Inputs'!$B$7,'Parameters &amp; Inputs'!$B$6)) + (I19*'Parameters &amp; Inputs'!$B$8))/1000</f>
        <v/>
      </c>
      <c r="K19" s="26">
        <f>MAX('Parameters &amp; Inputs'!$B$13, 'Parameters &amp; Inputs'!$B$9 + (E19*'Parameters &amp; Inputs'!$B$10) - (F19*'Parameters &amp; Inputs'!$B$11) - IF(G19="Concrete",'Parameters &amp; Inputs'!$B$12,0))</f>
        <v/>
      </c>
      <c r="L19" s="25">
        <f>(D19*K19*'Parameters &amp; Inputs'!$B$5*'Parameters &amp; Inputs'!$B$4)/1000</f>
        <v/>
      </c>
      <c r="M19" s="25">
        <f>J19+L19</f>
        <v/>
      </c>
      <c r="N19" s="19">
        <f>(M19*1000)/D19</f>
        <v/>
      </c>
      <c r="O19" s="16">
        <f>IF(COUNTIFS($J$2:$J$201, "&lt;"&amp;J19, $L$2:$L$201, "&lt;"&amp;L19)=0, "PARETO", "Sub-optimal")</f>
        <v/>
      </c>
    </row>
    <row r="20" ht="20" customHeight="1">
      <c r="A20" s="10" t="n">
        <v>19</v>
      </c>
      <c r="B20" s="12" t="n">
        <v>8</v>
      </c>
      <c r="C20" s="14" t="n">
        <v>1332.5</v>
      </c>
      <c r="D20" s="14">
        <f>B20*C20</f>
        <v/>
      </c>
      <c r="E20" s="13" t="n">
        <v>0.54</v>
      </c>
      <c r="F20" s="13" t="n">
        <v>1.16</v>
      </c>
      <c r="G20" s="11" t="inlineStr">
        <is>
          <t>Concrete</t>
        </is>
      </c>
      <c r="H20" s="14">
        <f>D20*'Parameters &amp; Inputs'!$B$15</f>
        <v/>
      </c>
      <c r="I20" s="21">
        <f>(4*SQRT(C20))*(B20*'Parameters &amp; Inputs'!$B$14)*E20*'Parameters &amp; Inputs'!$B$16</f>
        <v/>
      </c>
      <c r="J20" s="22">
        <f>((H20*IF(G20="Mass Timber",'Parameters &amp; Inputs'!$B$7,'Parameters &amp; Inputs'!$B$6)) + (I20*'Parameters &amp; Inputs'!$B$8))/1000</f>
        <v/>
      </c>
      <c r="K20" s="23">
        <f>MAX('Parameters &amp; Inputs'!$B$13, 'Parameters &amp; Inputs'!$B$9 + (E20*'Parameters &amp; Inputs'!$B$10) - (F20*'Parameters &amp; Inputs'!$B$11) - IF(G20="Concrete",'Parameters &amp; Inputs'!$B$12,0))</f>
        <v/>
      </c>
      <c r="L20" s="22">
        <f>(D20*K20*'Parameters &amp; Inputs'!$B$5*'Parameters &amp; Inputs'!$B$4)/1000</f>
        <v/>
      </c>
      <c r="M20" s="22">
        <f>J20+L20</f>
        <v/>
      </c>
      <c r="N20" s="14">
        <f>(M20*1000)/D20</f>
        <v/>
      </c>
      <c r="O20" s="11">
        <f>IF(COUNTIFS($J$2:$J$201, "&lt;"&amp;J20, $L$2:$L$201, "&lt;"&amp;L20)=0, "PARETO", "Sub-optimal")</f>
        <v/>
      </c>
    </row>
    <row r="21" ht="20" customHeight="1">
      <c r="A21" s="15" t="n">
        <v>20</v>
      </c>
      <c r="B21" s="17" t="n">
        <v>14</v>
      </c>
      <c r="C21" s="19" t="n">
        <v>1297.5</v>
      </c>
      <c r="D21" s="19">
        <f>B21*C21</f>
        <v/>
      </c>
      <c r="E21" s="18" t="n">
        <v>0.27</v>
      </c>
      <c r="F21" s="18" t="n">
        <v>0.66</v>
      </c>
      <c r="G21" s="16" t="inlineStr">
        <is>
          <t>Concrete</t>
        </is>
      </c>
      <c r="H21" s="19">
        <f>D21*'Parameters &amp; Inputs'!$B$15</f>
        <v/>
      </c>
      <c r="I21" s="24">
        <f>(4*SQRT(C21))*(B21*'Parameters &amp; Inputs'!$B$14)*E21*'Parameters &amp; Inputs'!$B$16</f>
        <v/>
      </c>
      <c r="J21" s="25">
        <f>((H21*IF(G21="Mass Timber",'Parameters &amp; Inputs'!$B$7,'Parameters &amp; Inputs'!$B$6)) + (I21*'Parameters &amp; Inputs'!$B$8))/1000</f>
        <v/>
      </c>
      <c r="K21" s="26">
        <f>MAX('Parameters &amp; Inputs'!$B$13, 'Parameters &amp; Inputs'!$B$9 + (E21*'Parameters &amp; Inputs'!$B$10) - (F21*'Parameters &amp; Inputs'!$B$11) - IF(G21="Concrete",'Parameters &amp; Inputs'!$B$12,0))</f>
        <v/>
      </c>
      <c r="L21" s="25">
        <f>(D21*K21*'Parameters &amp; Inputs'!$B$5*'Parameters &amp; Inputs'!$B$4)/1000</f>
        <v/>
      </c>
      <c r="M21" s="25">
        <f>J21+L21</f>
        <v/>
      </c>
      <c r="N21" s="19">
        <f>(M21*1000)/D21</f>
        <v/>
      </c>
      <c r="O21" s="16">
        <f>IF(COUNTIFS($J$2:$J$201, "&lt;"&amp;J21, $L$2:$L$201, "&lt;"&amp;L21)=0, "PARETO", "Sub-optimal")</f>
        <v/>
      </c>
    </row>
    <row r="22" ht="20" customHeight="1">
      <c r="A22" s="10" t="n">
        <v>21</v>
      </c>
      <c r="B22" s="12" t="n">
        <v>12</v>
      </c>
      <c r="C22" s="14" t="n">
        <v>1132.8</v>
      </c>
      <c r="D22" s="14">
        <f>B22*C22</f>
        <v/>
      </c>
      <c r="E22" s="13" t="n">
        <v>0.54</v>
      </c>
      <c r="F22" s="13" t="n">
        <v>1.04</v>
      </c>
      <c r="G22" s="11" t="inlineStr">
        <is>
          <t>Concrete</t>
        </is>
      </c>
      <c r="H22" s="14">
        <f>D22*'Parameters &amp; Inputs'!$B$15</f>
        <v/>
      </c>
      <c r="I22" s="21">
        <f>(4*SQRT(C22))*(B22*'Parameters &amp; Inputs'!$B$14)*E22*'Parameters &amp; Inputs'!$B$16</f>
        <v/>
      </c>
      <c r="J22" s="22">
        <f>((H22*IF(G22="Mass Timber",'Parameters &amp; Inputs'!$B$7,'Parameters &amp; Inputs'!$B$6)) + (I22*'Parameters &amp; Inputs'!$B$8))/1000</f>
        <v/>
      </c>
      <c r="K22" s="23">
        <f>MAX('Parameters &amp; Inputs'!$B$13, 'Parameters &amp; Inputs'!$B$9 + (E22*'Parameters &amp; Inputs'!$B$10) - (F22*'Parameters &amp; Inputs'!$B$11) - IF(G22="Concrete",'Parameters &amp; Inputs'!$B$12,0))</f>
        <v/>
      </c>
      <c r="L22" s="22">
        <f>(D22*K22*'Parameters &amp; Inputs'!$B$5*'Parameters &amp; Inputs'!$B$4)/1000</f>
        <v/>
      </c>
      <c r="M22" s="22">
        <f>J22+L22</f>
        <v/>
      </c>
      <c r="N22" s="14">
        <f>(M22*1000)/D22</f>
        <v/>
      </c>
      <c r="O22" s="11">
        <f>IF(COUNTIFS($J$2:$J$201, "&lt;"&amp;J22, $L$2:$L$201, "&lt;"&amp;L22)=0, "PARETO", "Sub-optimal")</f>
        <v/>
      </c>
    </row>
    <row r="23" ht="20" customHeight="1">
      <c r="A23" s="15" t="n">
        <v>22</v>
      </c>
      <c r="B23" s="17" t="n">
        <v>12</v>
      </c>
      <c r="C23" s="19" t="n">
        <v>1087.3</v>
      </c>
      <c r="D23" s="19">
        <f>B23*C23</f>
        <v/>
      </c>
      <c r="E23" s="18" t="n">
        <v>0.65</v>
      </c>
      <c r="F23" s="18" t="n">
        <v>0.34</v>
      </c>
      <c r="G23" s="16" t="inlineStr">
        <is>
          <t>Concrete</t>
        </is>
      </c>
      <c r="H23" s="19">
        <f>D23*'Parameters &amp; Inputs'!$B$15</f>
        <v/>
      </c>
      <c r="I23" s="24">
        <f>(4*SQRT(C23))*(B23*'Parameters &amp; Inputs'!$B$14)*E23*'Parameters &amp; Inputs'!$B$16</f>
        <v/>
      </c>
      <c r="J23" s="25">
        <f>((H23*IF(G23="Mass Timber",'Parameters &amp; Inputs'!$B$7,'Parameters &amp; Inputs'!$B$6)) + (I23*'Parameters &amp; Inputs'!$B$8))/1000</f>
        <v/>
      </c>
      <c r="K23" s="26">
        <f>MAX('Parameters &amp; Inputs'!$B$13, 'Parameters &amp; Inputs'!$B$9 + (E23*'Parameters &amp; Inputs'!$B$10) - (F23*'Parameters &amp; Inputs'!$B$11) - IF(G23="Concrete",'Parameters &amp; Inputs'!$B$12,0))</f>
        <v/>
      </c>
      <c r="L23" s="25">
        <f>(D23*K23*'Parameters &amp; Inputs'!$B$5*'Parameters &amp; Inputs'!$B$4)/1000</f>
        <v/>
      </c>
      <c r="M23" s="25">
        <f>J23+L23</f>
        <v/>
      </c>
      <c r="N23" s="19">
        <f>(M23*1000)/D23</f>
        <v/>
      </c>
      <c r="O23" s="16">
        <f>IF(COUNTIFS($J$2:$J$201, "&lt;"&amp;J23, $L$2:$L$201, "&lt;"&amp;L23)=0, "PARETO", "Sub-optimal")</f>
        <v/>
      </c>
    </row>
    <row r="24" ht="20" customHeight="1">
      <c r="A24" s="10" t="n">
        <v>23</v>
      </c>
      <c r="B24" s="12" t="n">
        <v>8</v>
      </c>
      <c r="C24" s="14" t="n">
        <v>912.9</v>
      </c>
      <c r="D24" s="14">
        <f>B24*C24</f>
        <v/>
      </c>
      <c r="E24" s="13" t="n">
        <v>0.76</v>
      </c>
      <c r="F24" s="13" t="n">
        <v>1.21</v>
      </c>
      <c r="G24" s="11" t="inlineStr">
        <is>
          <t>Mass Timber</t>
        </is>
      </c>
      <c r="H24" s="14">
        <f>D24*'Parameters &amp; Inputs'!$B$15</f>
        <v/>
      </c>
      <c r="I24" s="21">
        <f>(4*SQRT(C24))*(B24*'Parameters &amp; Inputs'!$B$14)*E24*'Parameters &amp; Inputs'!$B$16</f>
        <v/>
      </c>
      <c r="J24" s="22">
        <f>((H24*IF(G24="Mass Timber",'Parameters &amp; Inputs'!$B$7,'Parameters &amp; Inputs'!$B$6)) + (I24*'Parameters &amp; Inputs'!$B$8))/1000</f>
        <v/>
      </c>
      <c r="K24" s="23">
        <f>MAX('Parameters &amp; Inputs'!$B$13, 'Parameters &amp; Inputs'!$B$9 + (E24*'Parameters &amp; Inputs'!$B$10) - (F24*'Parameters &amp; Inputs'!$B$11) - IF(G24="Concrete",'Parameters &amp; Inputs'!$B$12,0))</f>
        <v/>
      </c>
      <c r="L24" s="22">
        <f>(D24*K24*'Parameters &amp; Inputs'!$B$5*'Parameters &amp; Inputs'!$B$4)/1000</f>
        <v/>
      </c>
      <c r="M24" s="22">
        <f>J24+L24</f>
        <v/>
      </c>
      <c r="N24" s="14">
        <f>(M24*1000)/D24</f>
        <v/>
      </c>
      <c r="O24" s="11">
        <f>IF(COUNTIFS($J$2:$J$201, "&lt;"&amp;J24, $L$2:$L$201, "&lt;"&amp;L24)=0, "PARETO", "Sub-optimal")</f>
        <v/>
      </c>
    </row>
    <row r="25" ht="20" customHeight="1">
      <c r="A25" s="15" t="n">
        <v>24</v>
      </c>
      <c r="B25" s="17" t="n">
        <v>11</v>
      </c>
      <c r="C25" s="19" t="n">
        <v>1119.6</v>
      </c>
      <c r="D25" s="19">
        <f>B25*C25</f>
        <v/>
      </c>
      <c r="E25" s="18" t="n">
        <v>0.33</v>
      </c>
      <c r="F25" s="18" t="n">
        <v>0.62</v>
      </c>
      <c r="G25" s="16" t="inlineStr">
        <is>
          <t>Mass Timber</t>
        </is>
      </c>
      <c r="H25" s="19">
        <f>D25*'Parameters &amp; Inputs'!$B$15</f>
        <v/>
      </c>
      <c r="I25" s="24">
        <f>(4*SQRT(C25))*(B25*'Parameters &amp; Inputs'!$B$14)*E25*'Parameters &amp; Inputs'!$B$16</f>
        <v/>
      </c>
      <c r="J25" s="25">
        <f>((H25*IF(G25="Mass Timber",'Parameters &amp; Inputs'!$B$7,'Parameters &amp; Inputs'!$B$6)) + (I25*'Parameters &amp; Inputs'!$B$8))/1000</f>
        <v/>
      </c>
      <c r="K25" s="26">
        <f>MAX('Parameters &amp; Inputs'!$B$13, 'Parameters &amp; Inputs'!$B$9 + (E25*'Parameters &amp; Inputs'!$B$10) - (F25*'Parameters &amp; Inputs'!$B$11) - IF(G25="Concrete",'Parameters &amp; Inputs'!$B$12,0))</f>
        <v/>
      </c>
      <c r="L25" s="25">
        <f>(D25*K25*'Parameters &amp; Inputs'!$B$5*'Parameters &amp; Inputs'!$B$4)/1000</f>
        <v/>
      </c>
      <c r="M25" s="25">
        <f>J25+L25</f>
        <v/>
      </c>
      <c r="N25" s="19">
        <f>(M25*1000)/D25</f>
        <v/>
      </c>
      <c r="O25" s="16">
        <f>IF(COUNTIFS($J$2:$J$201, "&lt;"&amp;J25, $L$2:$L$201, "&lt;"&amp;L25)=0, "PARETO", "Sub-optimal")</f>
        <v/>
      </c>
    </row>
    <row r="26" ht="20" customHeight="1">
      <c r="A26" s="10" t="n">
        <v>25</v>
      </c>
      <c r="B26" s="12" t="n">
        <v>12</v>
      </c>
      <c r="C26" s="14" t="n">
        <v>1427.3</v>
      </c>
      <c r="D26" s="14">
        <f>B26*C26</f>
        <v/>
      </c>
      <c r="E26" s="13" t="n">
        <v>0.39</v>
      </c>
      <c r="F26" s="13" t="n">
        <v>0.17</v>
      </c>
      <c r="G26" s="11" t="inlineStr">
        <is>
          <t>Concrete</t>
        </is>
      </c>
      <c r="H26" s="14">
        <f>D26*'Parameters &amp; Inputs'!$B$15</f>
        <v/>
      </c>
      <c r="I26" s="21">
        <f>(4*SQRT(C26))*(B26*'Parameters &amp; Inputs'!$B$14)*E26*'Parameters &amp; Inputs'!$B$16</f>
        <v/>
      </c>
      <c r="J26" s="22">
        <f>((H26*IF(G26="Mass Timber",'Parameters &amp; Inputs'!$B$7,'Parameters &amp; Inputs'!$B$6)) + (I26*'Parameters &amp; Inputs'!$B$8))/1000</f>
        <v/>
      </c>
      <c r="K26" s="23">
        <f>MAX('Parameters &amp; Inputs'!$B$13, 'Parameters &amp; Inputs'!$B$9 + (E26*'Parameters &amp; Inputs'!$B$10) - (F26*'Parameters &amp; Inputs'!$B$11) - IF(G26="Concrete",'Parameters &amp; Inputs'!$B$12,0))</f>
        <v/>
      </c>
      <c r="L26" s="22">
        <f>(D26*K26*'Parameters &amp; Inputs'!$B$5*'Parameters &amp; Inputs'!$B$4)/1000</f>
        <v/>
      </c>
      <c r="M26" s="22">
        <f>J26+L26</f>
        <v/>
      </c>
      <c r="N26" s="14">
        <f>(M26*1000)/D26</f>
        <v/>
      </c>
      <c r="O26" s="11">
        <f>IF(COUNTIFS($J$2:$J$201, "&lt;"&amp;J26, $L$2:$L$201, "&lt;"&amp;L26)=0, "PARETO", "Sub-optimal")</f>
        <v/>
      </c>
    </row>
    <row r="27" ht="20" customHeight="1">
      <c r="A27" s="15" t="n">
        <v>26</v>
      </c>
      <c r="B27" s="17" t="n">
        <v>14</v>
      </c>
      <c r="C27" s="19" t="n">
        <v>1372.6</v>
      </c>
      <c r="D27" s="19">
        <f>B27*C27</f>
        <v/>
      </c>
      <c r="E27" s="18" t="n">
        <v>0.72</v>
      </c>
      <c r="F27" s="18" t="n">
        <v>0.01</v>
      </c>
      <c r="G27" s="16" t="inlineStr">
        <is>
          <t>Mass Timber</t>
        </is>
      </c>
      <c r="H27" s="19">
        <f>D27*'Parameters &amp; Inputs'!$B$15</f>
        <v/>
      </c>
      <c r="I27" s="24">
        <f>(4*SQRT(C27))*(B27*'Parameters &amp; Inputs'!$B$14)*E27*'Parameters &amp; Inputs'!$B$16</f>
        <v/>
      </c>
      <c r="J27" s="25">
        <f>((H27*IF(G27="Mass Timber",'Parameters &amp; Inputs'!$B$7,'Parameters &amp; Inputs'!$B$6)) + (I27*'Parameters &amp; Inputs'!$B$8))/1000</f>
        <v/>
      </c>
      <c r="K27" s="26">
        <f>MAX('Parameters &amp; Inputs'!$B$13, 'Parameters &amp; Inputs'!$B$9 + (E27*'Parameters &amp; Inputs'!$B$10) - (F27*'Parameters &amp; Inputs'!$B$11) - IF(G27="Concrete",'Parameters &amp; Inputs'!$B$12,0))</f>
        <v/>
      </c>
      <c r="L27" s="25">
        <f>(D27*K27*'Parameters &amp; Inputs'!$B$5*'Parameters &amp; Inputs'!$B$4)/1000</f>
        <v/>
      </c>
      <c r="M27" s="25">
        <f>J27+L27</f>
        <v/>
      </c>
      <c r="N27" s="19">
        <f>(M27*1000)/D27</f>
        <v/>
      </c>
      <c r="O27" s="16">
        <f>IF(COUNTIFS($J$2:$J$201, "&lt;"&amp;J27, $L$2:$L$201, "&lt;"&amp;L27)=0, "PARETO", "Sub-optimal")</f>
        <v/>
      </c>
    </row>
    <row r="28" ht="20" customHeight="1">
      <c r="A28" s="10" t="n">
        <v>27</v>
      </c>
      <c r="B28" s="12" t="n">
        <v>14</v>
      </c>
      <c r="C28" s="14" t="n">
        <v>1139.4</v>
      </c>
      <c r="D28" s="14">
        <f>B28*C28</f>
        <v/>
      </c>
      <c r="E28" s="13" t="n">
        <v>0.62</v>
      </c>
      <c r="F28" s="13" t="n">
        <v>0.4</v>
      </c>
      <c r="G28" s="11" t="inlineStr">
        <is>
          <t>Concrete</t>
        </is>
      </c>
      <c r="H28" s="14">
        <f>D28*'Parameters &amp; Inputs'!$B$15</f>
        <v/>
      </c>
      <c r="I28" s="21">
        <f>(4*SQRT(C28))*(B28*'Parameters &amp; Inputs'!$B$14)*E28*'Parameters &amp; Inputs'!$B$16</f>
        <v/>
      </c>
      <c r="J28" s="22">
        <f>((H28*IF(G28="Mass Timber",'Parameters &amp; Inputs'!$B$7,'Parameters &amp; Inputs'!$B$6)) + (I28*'Parameters &amp; Inputs'!$B$8))/1000</f>
        <v/>
      </c>
      <c r="K28" s="23">
        <f>MAX('Parameters &amp; Inputs'!$B$13, 'Parameters &amp; Inputs'!$B$9 + (E28*'Parameters &amp; Inputs'!$B$10) - (F28*'Parameters &amp; Inputs'!$B$11) - IF(G28="Concrete",'Parameters &amp; Inputs'!$B$12,0))</f>
        <v/>
      </c>
      <c r="L28" s="22">
        <f>(D28*K28*'Parameters &amp; Inputs'!$B$5*'Parameters &amp; Inputs'!$B$4)/1000</f>
        <v/>
      </c>
      <c r="M28" s="22">
        <f>J28+L28</f>
        <v/>
      </c>
      <c r="N28" s="14">
        <f>(M28*1000)/D28</f>
        <v/>
      </c>
      <c r="O28" s="11">
        <f>IF(COUNTIFS($J$2:$J$201, "&lt;"&amp;J28, $L$2:$L$201, "&lt;"&amp;L28)=0, "PARETO", "Sub-optimal")</f>
        <v/>
      </c>
    </row>
    <row r="29" ht="20" customHeight="1">
      <c r="A29" s="15" t="n">
        <v>28</v>
      </c>
      <c r="B29" s="17" t="n">
        <v>11</v>
      </c>
      <c r="C29" s="19" t="n">
        <v>953.1</v>
      </c>
      <c r="D29" s="19">
        <f>B29*C29</f>
        <v/>
      </c>
      <c r="E29" s="18" t="n">
        <v>0.53</v>
      </c>
      <c r="F29" s="18" t="n">
        <v>0.61</v>
      </c>
      <c r="G29" s="16" t="inlineStr">
        <is>
          <t>Concrete</t>
        </is>
      </c>
      <c r="H29" s="19">
        <f>D29*'Parameters &amp; Inputs'!$B$15</f>
        <v/>
      </c>
      <c r="I29" s="24">
        <f>(4*SQRT(C29))*(B29*'Parameters &amp; Inputs'!$B$14)*E29*'Parameters &amp; Inputs'!$B$16</f>
        <v/>
      </c>
      <c r="J29" s="25">
        <f>((H29*IF(G29="Mass Timber",'Parameters &amp; Inputs'!$B$7,'Parameters &amp; Inputs'!$B$6)) + (I29*'Parameters &amp; Inputs'!$B$8))/1000</f>
        <v/>
      </c>
      <c r="K29" s="26">
        <f>MAX('Parameters &amp; Inputs'!$B$13, 'Parameters &amp; Inputs'!$B$9 + (E29*'Parameters &amp; Inputs'!$B$10) - (F29*'Parameters &amp; Inputs'!$B$11) - IF(G29="Concrete",'Parameters &amp; Inputs'!$B$12,0))</f>
        <v/>
      </c>
      <c r="L29" s="25">
        <f>(D29*K29*'Parameters &amp; Inputs'!$B$5*'Parameters &amp; Inputs'!$B$4)/1000</f>
        <v/>
      </c>
      <c r="M29" s="25">
        <f>J29+L29</f>
        <v/>
      </c>
      <c r="N29" s="19">
        <f>(M29*1000)/D29</f>
        <v/>
      </c>
      <c r="O29" s="16">
        <f>IF(COUNTIFS($J$2:$J$201, "&lt;"&amp;J29, $L$2:$L$201, "&lt;"&amp;L29)=0, "PARETO", "Sub-optimal")</f>
        <v/>
      </c>
    </row>
    <row r="30" ht="20" customHeight="1">
      <c r="A30" s="10" t="n">
        <v>29</v>
      </c>
      <c r="B30" s="12" t="n">
        <v>9</v>
      </c>
      <c r="C30" s="14" t="n">
        <v>972.8</v>
      </c>
      <c r="D30" s="14">
        <f>B30*C30</f>
        <v/>
      </c>
      <c r="E30" s="13" t="n">
        <v>0.62</v>
      </c>
      <c r="F30" s="13" t="n">
        <v>1.07</v>
      </c>
      <c r="G30" s="11" t="inlineStr">
        <is>
          <t>Concrete</t>
        </is>
      </c>
      <c r="H30" s="14">
        <f>D30*'Parameters &amp; Inputs'!$B$15</f>
        <v/>
      </c>
      <c r="I30" s="21">
        <f>(4*SQRT(C30))*(B30*'Parameters &amp; Inputs'!$B$14)*E30*'Parameters &amp; Inputs'!$B$16</f>
        <v/>
      </c>
      <c r="J30" s="22">
        <f>((H30*IF(G30="Mass Timber",'Parameters &amp; Inputs'!$B$7,'Parameters &amp; Inputs'!$B$6)) + (I30*'Parameters &amp; Inputs'!$B$8))/1000</f>
        <v/>
      </c>
      <c r="K30" s="23">
        <f>MAX('Parameters &amp; Inputs'!$B$13, 'Parameters &amp; Inputs'!$B$9 + (E30*'Parameters &amp; Inputs'!$B$10) - (F30*'Parameters &amp; Inputs'!$B$11) - IF(G30="Concrete",'Parameters &amp; Inputs'!$B$12,0))</f>
        <v/>
      </c>
      <c r="L30" s="22">
        <f>(D30*K30*'Parameters &amp; Inputs'!$B$5*'Parameters &amp; Inputs'!$B$4)/1000</f>
        <v/>
      </c>
      <c r="M30" s="22">
        <f>J30+L30</f>
        <v/>
      </c>
      <c r="N30" s="14">
        <f>(M30*1000)/D30</f>
        <v/>
      </c>
      <c r="O30" s="11">
        <f>IF(COUNTIFS($J$2:$J$201, "&lt;"&amp;J30, $L$2:$L$201, "&lt;"&amp;L30)=0, "PARETO", "Sub-optimal")</f>
        <v/>
      </c>
    </row>
    <row r="31" ht="20" customHeight="1">
      <c r="A31" s="15" t="n">
        <v>30</v>
      </c>
      <c r="B31" s="17" t="n">
        <v>13</v>
      </c>
      <c r="C31" s="19" t="n">
        <v>825.8</v>
      </c>
      <c r="D31" s="19">
        <f>B31*C31</f>
        <v/>
      </c>
      <c r="E31" s="18" t="n">
        <v>0.57</v>
      </c>
      <c r="F31" s="18" t="n">
        <v>0.75</v>
      </c>
      <c r="G31" s="16" t="inlineStr">
        <is>
          <t>Concrete</t>
        </is>
      </c>
      <c r="H31" s="19">
        <f>D31*'Parameters &amp; Inputs'!$B$15</f>
        <v/>
      </c>
      <c r="I31" s="24">
        <f>(4*SQRT(C31))*(B31*'Parameters &amp; Inputs'!$B$14)*E31*'Parameters &amp; Inputs'!$B$16</f>
        <v/>
      </c>
      <c r="J31" s="25">
        <f>((H31*IF(G31="Mass Timber",'Parameters &amp; Inputs'!$B$7,'Parameters &amp; Inputs'!$B$6)) + (I31*'Parameters &amp; Inputs'!$B$8))/1000</f>
        <v/>
      </c>
      <c r="K31" s="26">
        <f>MAX('Parameters &amp; Inputs'!$B$13, 'Parameters &amp; Inputs'!$B$9 + (E31*'Parameters &amp; Inputs'!$B$10) - (F31*'Parameters &amp; Inputs'!$B$11) - IF(G31="Concrete",'Parameters &amp; Inputs'!$B$12,0))</f>
        <v/>
      </c>
      <c r="L31" s="25">
        <f>(D31*K31*'Parameters &amp; Inputs'!$B$5*'Parameters &amp; Inputs'!$B$4)/1000</f>
        <v/>
      </c>
      <c r="M31" s="25">
        <f>J31+L31</f>
        <v/>
      </c>
      <c r="N31" s="19">
        <f>(M31*1000)/D31</f>
        <v/>
      </c>
      <c r="O31" s="16">
        <f>IF(COUNTIFS($J$2:$J$201, "&lt;"&amp;J31, $L$2:$L$201, "&lt;"&amp;L31)=0, "PARETO", "Sub-optimal")</f>
        <v/>
      </c>
    </row>
    <row r="32" ht="20" customHeight="1">
      <c r="A32" s="10" t="n">
        <v>31</v>
      </c>
      <c r="B32" s="12" t="n">
        <v>10</v>
      </c>
      <c r="C32" s="14" t="n">
        <v>1041.5</v>
      </c>
      <c r="D32" s="14">
        <f>B32*C32</f>
        <v/>
      </c>
      <c r="E32" s="13" t="n">
        <v>0.58</v>
      </c>
      <c r="F32" s="13" t="n">
        <v>1.02</v>
      </c>
      <c r="G32" s="11" t="inlineStr">
        <is>
          <t>Mass Timber</t>
        </is>
      </c>
      <c r="H32" s="14">
        <f>D32*'Parameters &amp; Inputs'!$B$15</f>
        <v/>
      </c>
      <c r="I32" s="21">
        <f>(4*SQRT(C32))*(B32*'Parameters &amp; Inputs'!$B$14)*E32*'Parameters &amp; Inputs'!$B$16</f>
        <v/>
      </c>
      <c r="J32" s="22">
        <f>((H32*IF(G32="Mass Timber",'Parameters &amp; Inputs'!$B$7,'Parameters &amp; Inputs'!$B$6)) + (I32*'Parameters &amp; Inputs'!$B$8))/1000</f>
        <v/>
      </c>
      <c r="K32" s="23">
        <f>MAX('Parameters &amp; Inputs'!$B$13, 'Parameters &amp; Inputs'!$B$9 + (E32*'Parameters &amp; Inputs'!$B$10) - (F32*'Parameters &amp; Inputs'!$B$11) - IF(G32="Concrete",'Parameters &amp; Inputs'!$B$12,0))</f>
        <v/>
      </c>
      <c r="L32" s="22">
        <f>(D32*K32*'Parameters &amp; Inputs'!$B$5*'Parameters &amp; Inputs'!$B$4)/1000</f>
        <v/>
      </c>
      <c r="M32" s="22">
        <f>J32+L32</f>
        <v/>
      </c>
      <c r="N32" s="14">
        <f>(M32*1000)/D32</f>
        <v/>
      </c>
      <c r="O32" s="11">
        <f>IF(COUNTIFS($J$2:$J$201, "&lt;"&amp;J32, $L$2:$L$201, "&lt;"&amp;L32)=0, "PARETO", "Sub-optimal")</f>
        <v/>
      </c>
    </row>
    <row r="33" ht="20" customHeight="1">
      <c r="A33" s="15" t="n">
        <v>32</v>
      </c>
      <c r="B33" s="17" t="n">
        <v>11</v>
      </c>
      <c r="C33" s="19" t="n">
        <v>969.4</v>
      </c>
      <c r="D33" s="19">
        <f>B33*C33</f>
        <v/>
      </c>
      <c r="E33" s="18" t="n">
        <v>0.6</v>
      </c>
      <c r="F33" s="18" t="n">
        <v>1.14</v>
      </c>
      <c r="G33" s="16" t="inlineStr">
        <is>
          <t>Concrete</t>
        </is>
      </c>
      <c r="H33" s="19">
        <f>D33*'Parameters &amp; Inputs'!$B$15</f>
        <v/>
      </c>
      <c r="I33" s="24">
        <f>(4*SQRT(C33))*(B33*'Parameters &amp; Inputs'!$B$14)*E33*'Parameters &amp; Inputs'!$B$16</f>
        <v/>
      </c>
      <c r="J33" s="25">
        <f>((H33*IF(G33="Mass Timber",'Parameters &amp; Inputs'!$B$7,'Parameters &amp; Inputs'!$B$6)) + (I33*'Parameters &amp; Inputs'!$B$8))/1000</f>
        <v/>
      </c>
      <c r="K33" s="26">
        <f>MAX('Parameters &amp; Inputs'!$B$13, 'Parameters &amp; Inputs'!$B$9 + (E33*'Parameters &amp; Inputs'!$B$10) - (F33*'Parameters &amp; Inputs'!$B$11) - IF(G33="Concrete",'Parameters &amp; Inputs'!$B$12,0))</f>
        <v/>
      </c>
      <c r="L33" s="25">
        <f>(D33*K33*'Parameters &amp; Inputs'!$B$5*'Parameters &amp; Inputs'!$B$4)/1000</f>
        <v/>
      </c>
      <c r="M33" s="25">
        <f>J33+L33</f>
        <v/>
      </c>
      <c r="N33" s="19">
        <f>(M33*1000)/D33</f>
        <v/>
      </c>
      <c r="O33" s="16">
        <f>IF(COUNTIFS($J$2:$J$201, "&lt;"&amp;J33, $L$2:$L$201, "&lt;"&amp;L33)=0, "PARETO", "Sub-optimal")</f>
        <v/>
      </c>
    </row>
    <row r="34" ht="20" customHeight="1">
      <c r="A34" s="10" t="n">
        <v>33</v>
      </c>
      <c r="B34" s="12" t="n">
        <v>11</v>
      </c>
      <c r="C34" s="14" t="n">
        <v>1057.4</v>
      </c>
      <c r="D34" s="14">
        <f>B34*C34</f>
        <v/>
      </c>
      <c r="E34" s="13" t="n">
        <v>0.58</v>
      </c>
      <c r="F34" s="13" t="n">
        <v>0.95</v>
      </c>
      <c r="G34" s="11" t="inlineStr">
        <is>
          <t>Mass Timber</t>
        </is>
      </c>
      <c r="H34" s="14">
        <f>D34*'Parameters &amp; Inputs'!$B$15</f>
        <v/>
      </c>
      <c r="I34" s="21">
        <f>(4*SQRT(C34))*(B34*'Parameters &amp; Inputs'!$B$14)*E34*'Parameters &amp; Inputs'!$B$16</f>
        <v/>
      </c>
      <c r="J34" s="22">
        <f>((H34*IF(G34="Mass Timber",'Parameters &amp; Inputs'!$B$7,'Parameters &amp; Inputs'!$B$6)) + (I34*'Parameters &amp; Inputs'!$B$8))/1000</f>
        <v/>
      </c>
      <c r="K34" s="23">
        <f>MAX('Parameters &amp; Inputs'!$B$13, 'Parameters &amp; Inputs'!$B$9 + (E34*'Parameters &amp; Inputs'!$B$10) - (F34*'Parameters &amp; Inputs'!$B$11) - IF(G34="Concrete",'Parameters &amp; Inputs'!$B$12,0))</f>
        <v/>
      </c>
      <c r="L34" s="22">
        <f>(D34*K34*'Parameters &amp; Inputs'!$B$5*'Parameters &amp; Inputs'!$B$4)/1000</f>
        <v/>
      </c>
      <c r="M34" s="22">
        <f>J34+L34</f>
        <v/>
      </c>
      <c r="N34" s="14">
        <f>(M34*1000)/D34</f>
        <v/>
      </c>
      <c r="O34" s="11">
        <f>IF(COUNTIFS($J$2:$J$201, "&lt;"&amp;J34, $L$2:$L$201, "&lt;"&amp;L34)=0, "PARETO", "Sub-optimal")</f>
        <v/>
      </c>
    </row>
    <row r="35" ht="20" customHeight="1">
      <c r="A35" s="15" t="n">
        <v>34</v>
      </c>
      <c r="B35" s="17" t="n">
        <v>6</v>
      </c>
      <c r="C35" s="19" t="n">
        <v>905.5</v>
      </c>
      <c r="D35" s="19">
        <f>B35*C35</f>
        <v/>
      </c>
      <c r="E35" s="18" t="n">
        <v>0.5</v>
      </c>
      <c r="F35" s="18" t="n">
        <v>1.04</v>
      </c>
      <c r="G35" s="16" t="inlineStr">
        <is>
          <t>Mass Timber</t>
        </is>
      </c>
      <c r="H35" s="19">
        <f>D35*'Parameters &amp; Inputs'!$B$15</f>
        <v/>
      </c>
      <c r="I35" s="24">
        <f>(4*SQRT(C35))*(B35*'Parameters &amp; Inputs'!$B$14)*E35*'Parameters &amp; Inputs'!$B$16</f>
        <v/>
      </c>
      <c r="J35" s="25">
        <f>((H35*IF(G35="Mass Timber",'Parameters &amp; Inputs'!$B$7,'Parameters &amp; Inputs'!$B$6)) + (I35*'Parameters &amp; Inputs'!$B$8))/1000</f>
        <v/>
      </c>
      <c r="K35" s="26">
        <f>MAX('Parameters &amp; Inputs'!$B$13, 'Parameters &amp; Inputs'!$B$9 + (E35*'Parameters &amp; Inputs'!$B$10) - (F35*'Parameters &amp; Inputs'!$B$11) - IF(G35="Concrete",'Parameters &amp; Inputs'!$B$12,0))</f>
        <v/>
      </c>
      <c r="L35" s="25">
        <f>(D35*K35*'Parameters &amp; Inputs'!$B$5*'Parameters &amp; Inputs'!$B$4)/1000</f>
        <v/>
      </c>
      <c r="M35" s="25">
        <f>J35+L35</f>
        <v/>
      </c>
      <c r="N35" s="19">
        <f>(M35*1000)/D35</f>
        <v/>
      </c>
      <c r="O35" s="16">
        <f>IF(COUNTIFS($J$2:$J$201, "&lt;"&amp;J35, $L$2:$L$201, "&lt;"&amp;L35)=0, "PARETO", "Sub-optimal")</f>
        <v/>
      </c>
    </row>
    <row r="36" ht="20" customHeight="1">
      <c r="A36" s="10" t="n">
        <v>35</v>
      </c>
      <c r="B36" s="12" t="n">
        <v>9</v>
      </c>
      <c r="C36" s="14" t="n">
        <v>811.6</v>
      </c>
      <c r="D36" s="14">
        <f>B36*C36</f>
        <v/>
      </c>
      <c r="E36" s="13" t="n">
        <v>0.51</v>
      </c>
      <c r="F36" s="13" t="n">
        <v>0.34</v>
      </c>
      <c r="G36" s="11" t="inlineStr">
        <is>
          <t>Mass Timber</t>
        </is>
      </c>
      <c r="H36" s="14">
        <f>D36*'Parameters &amp; Inputs'!$B$15</f>
        <v/>
      </c>
      <c r="I36" s="21">
        <f>(4*SQRT(C36))*(B36*'Parameters &amp; Inputs'!$B$14)*E36*'Parameters &amp; Inputs'!$B$16</f>
        <v/>
      </c>
      <c r="J36" s="22">
        <f>((H36*IF(G36="Mass Timber",'Parameters &amp; Inputs'!$B$7,'Parameters &amp; Inputs'!$B$6)) + (I36*'Parameters &amp; Inputs'!$B$8))/1000</f>
        <v/>
      </c>
      <c r="K36" s="23">
        <f>MAX('Parameters &amp; Inputs'!$B$13, 'Parameters &amp; Inputs'!$B$9 + (E36*'Parameters &amp; Inputs'!$B$10) - (F36*'Parameters &amp; Inputs'!$B$11) - IF(G36="Concrete",'Parameters &amp; Inputs'!$B$12,0))</f>
        <v/>
      </c>
      <c r="L36" s="22">
        <f>(D36*K36*'Parameters &amp; Inputs'!$B$5*'Parameters &amp; Inputs'!$B$4)/1000</f>
        <v/>
      </c>
      <c r="M36" s="22">
        <f>J36+L36</f>
        <v/>
      </c>
      <c r="N36" s="14">
        <f>(M36*1000)/D36</f>
        <v/>
      </c>
      <c r="O36" s="11">
        <f>IF(COUNTIFS($J$2:$J$201, "&lt;"&amp;J36, $L$2:$L$201, "&lt;"&amp;L36)=0, "PARETO", "Sub-optimal")</f>
        <v/>
      </c>
    </row>
    <row r="37" ht="20" customHeight="1">
      <c r="A37" s="15" t="n">
        <v>36</v>
      </c>
      <c r="B37" s="17" t="n">
        <v>9</v>
      </c>
      <c r="C37" s="19" t="n">
        <v>1458.4</v>
      </c>
      <c r="D37" s="19">
        <f>B37*C37</f>
        <v/>
      </c>
      <c r="E37" s="18" t="n">
        <v>0.44</v>
      </c>
      <c r="F37" s="18" t="n">
        <v>0.78</v>
      </c>
      <c r="G37" s="16" t="inlineStr">
        <is>
          <t>Mass Timber</t>
        </is>
      </c>
      <c r="H37" s="19">
        <f>D37*'Parameters &amp; Inputs'!$B$15</f>
        <v/>
      </c>
      <c r="I37" s="24">
        <f>(4*SQRT(C37))*(B37*'Parameters &amp; Inputs'!$B$14)*E37*'Parameters &amp; Inputs'!$B$16</f>
        <v/>
      </c>
      <c r="J37" s="25">
        <f>((H37*IF(G37="Mass Timber",'Parameters &amp; Inputs'!$B$7,'Parameters &amp; Inputs'!$B$6)) + (I37*'Parameters &amp; Inputs'!$B$8))/1000</f>
        <v/>
      </c>
      <c r="K37" s="26">
        <f>MAX('Parameters &amp; Inputs'!$B$13, 'Parameters &amp; Inputs'!$B$9 + (E37*'Parameters &amp; Inputs'!$B$10) - (F37*'Parameters &amp; Inputs'!$B$11) - IF(G37="Concrete",'Parameters &amp; Inputs'!$B$12,0))</f>
        <v/>
      </c>
      <c r="L37" s="25">
        <f>(D37*K37*'Parameters &amp; Inputs'!$B$5*'Parameters &amp; Inputs'!$B$4)/1000</f>
        <v/>
      </c>
      <c r="M37" s="25">
        <f>J37+L37</f>
        <v/>
      </c>
      <c r="N37" s="19">
        <f>(M37*1000)/D37</f>
        <v/>
      </c>
      <c r="O37" s="16">
        <f>IF(COUNTIFS($J$2:$J$201, "&lt;"&amp;J37, $L$2:$L$201, "&lt;"&amp;L37)=0, "PARETO", "Sub-optimal")</f>
        <v/>
      </c>
    </row>
    <row r="38" ht="20" customHeight="1">
      <c r="A38" s="10" t="n">
        <v>37</v>
      </c>
      <c r="B38" s="12" t="n">
        <v>14</v>
      </c>
      <c r="C38" s="14" t="n">
        <v>879.4</v>
      </c>
      <c r="D38" s="14">
        <f>B38*C38</f>
        <v/>
      </c>
      <c r="E38" s="13" t="n">
        <v>0.75</v>
      </c>
      <c r="F38" s="13" t="n">
        <v>1.32</v>
      </c>
      <c r="G38" s="11" t="inlineStr">
        <is>
          <t>Concrete</t>
        </is>
      </c>
      <c r="H38" s="14">
        <f>D38*'Parameters &amp; Inputs'!$B$15</f>
        <v/>
      </c>
      <c r="I38" s="21">
        <f>(4*SQRT(C38))*(B38*'Parameters &amp; Inputs'!$B$14)*E38*'Parameters &amp; Inputs'!$B$16</f>
        <v/>
      </c>
      <c r="J38" s="22">
        <f>((H38*IF(G38="Mass Timber",'Parameters &amp; Inputs'!$B$7,'Parameters &amp; Inputs'!$B$6)) + (I38*'Parameters &amp; Inputs'!$B$8))/1000</f>
        <v/>
      </c>
      <c r="K38" s="23">
        <f>MAX('Parameters &amp; Inputs'!$B$13, 'Parameters &amp; Inputs'!$B$9 + (E38*'Parameters &amp; Inputs'!$B$10) - (F38*'Parameters &amp; Inputs'!$B$11) - IF(G38="Concrete",'Parameters &amp; Inputs'!$B$12,0))</f>
        <v/>
      </c>
      <c r="L38" s="22">
        <f>(D38*K38*'Parameters &amp; Inputs'!$B$5*'Parameters &amp; Inputs'!$B$4)/1000</f>
        <v/>
      </c>
      <c r="M38" s="22">
        <f>J38+L38</f>
        <v/>
      </c>
      <c r="N38" s="14">
        <f>(M38*1000)/D38</f>
        <v/>
      </c>
      <c r="O38" s="11">
        <f>IF(COUNTIFS($J$2:$J$201, "&lt;"&amp;J38, $L$2:$L$201, "&lt;"&amp;L38)=0, "PARETO", "Sub-optimal")</f>
        <v/>
      </c>
    </row>
    <row r="39" ht="20" customHeight="1">
      <c r="A39" s="15" t="n">
        <v>38</v>
      </c>
      <c r="B39" s="17" t="n">
        <v>14</v>
      </c>
      <c r="C39" s="19" t="n">
        <v>1161.6</v>
      </c>
      <c r="D39" s="19">
        <f>B39*C39</f>
        <v/>
      </c>
      <c r="E39" s="18" t="n">
        <v>0.36</v>
      </c>
      <c r="F39" s="18" t="n">
        <v>1.49</v>
      </c>
      <c r="G39" s="16" t="inlineStr">
        <is>
          <t>Mass Timber</t>
        </is>
      </c>
      <c r="H39" s="19">
        <f>D39*'Parameters &amp; Inputs'!$B$15</f>
        <v/>
      </c>
      <c r="I39" s="24">
        <f>(4*SQRT(C39))*(B39*'Parameters &amp; Inputs'!$B$14)*E39*'Parameters &amp; Inputs'!$B$16</f>
        <v/>
      </c>
      <c r="J39" s="25">
        <f>((H39*IF(G39="Mass Timber",'Parameters &amp; Inputs'!$B$7,'Parameters &amp; Inputs'!$B$6)) + (I39*'Parameters &amp; Inputs'!$B$8))/1000</f>
        <v/>
      </c>
      <c r="K39" s="26">
        <f>MAX('Parameters &amp; Inputs'!$B$13, 'Parameters &amp; Inputs'!$B$9 + (E39*'Parameters &amp; Inputs'!$B$10) - (F39*'Parameters &amp; Inputs'!$B$11) - IF(G39="Concrete",'Parameters &amp; Inputs'!$B$12,0))</f>
        <v/>
      </c>
      <c r="L39" s="25">
        <f>(D39*K39*'Parameters &amp; Inputs'!$B$5*'Parameters &amp; Inputs'!$B$4)/1000</f>
        <v/>
      </c>
      <c r="M39" s="25">
        <f>J39+L39</f>
        <v/>
      </c>
      <c r="N39" s="19">
        <f>(M39*1000)/D39</f>
        <v/>
      </c>
      <c r="O39" s="16">
        <f>IF(COUNTIFS($J$2:$J$201, "&lt;"&amp;J39, $L$2:$L$201, "&lt;"&amp;L39)=0, "PARETO", "Sub-optimal")</f>
        <v/>
      </c>
    </row>
    <row r="40" ht="20" customHeight="1">
      <c r="A40" s="10" t="n">
        <v>39</v>
      </c>
      <c r="B40" s="12" t="n">
        <v>10</v>
      </c>
      <c r="C40" s="14" t="n">
        <v>1430.3</v>
      </c>
      <c r="D40" s="14">
        <f>B40*C40</f>
        <v/>
      </c>
      <c r="E40" s="13" t="n">
        <v>0.58</v>
      </c>
      <c r="F40" s="13" t="n">
        <v>0.51</v>
      </c>
      <c r="G40" s="11" t="inlineStr">
        <is>
          <t>Concrete</t>
        </is>
      </c>
      <c r="H40" s="14">
        <f>D40*'Parameters &amp; Inputs'!$B$15</f>
        <v/>
      </c>
      <c r="I40" s="21">
        <f>(4*SQRT(C40))*(B40*'Parameters &amp; Inputs'!$B$14)*E40*'Parameters &amp; Inputs'!$B$16</f>
        <v/>
      </c>
      <c r="J40" s="22">
        <f>((H40*IF(G40="Mass Timber",'Parameters &amp; Inputs'!$B$7,'Parameters &amp; Inputs'!$B$6)) + (I40*'Parameters &amp; Inputs'!$B$8))/1000</f>
        <v/>
      </c>
      <c r="K40" s="23">
        <f>MAX('Parameters &amp; Inputs'!$B$13, 'Parameters &amp; Inputs'!$B$9 + (E40*'Parameters &amp; Inputs'!$B$10) - (F40*'Parameters &amp; Inputs'!$B$11) - IF(G40="Concrete",'Parameters &amp; Inputs'!$B$12,0))</f>
        <v/>
      </c>
      <c r="L40" s="22">
        <f>(D40*K40*'Parameters &amp; Inputs'!$B$5*'Parameters &amp; Inputs'!$B$4)/1000</f>
        <v/>
      </c>
      <c r="M40" s="22">
        <f>J40+L40</f>
        <v/>
      </c>
      <c r="N40" s="14">
        <f>(M40*1000)/D40</f>
        <v/>
      </c>
      <c r="O40" s="11">
        <f>IF(COUNTIFS($J$2:$J$201, "&lt;"&amp;J40, $L$2:$L$201, "&lt;"&amp;L40)=0, "PARETO", "Sub-optimal")</f>
        <v/>
      </c>
    </row>
    <row r="41" ht="20" customHeight="1">
      <c r="A41" s="15" t="n">
        <v>40</v>
      </c>
      <c r="B41" s="17" t="n">
        <v>8</v>
      </c>
      <c r="C41" s="19" t="n">
        <v>1399.4</v>
      </c>
      <c r="D41" s="19">
        <f>B41*C41</f>
        <v/>
      </c>
      <c r="E41" s="18" t="n">
        <v>0.44</v>
      </c>
      <c r="F41" s="18" t="n">
        <v>1.33</v>
      </c>
      <c r="G41" s="16" t="inlineStr">
        <is>
          <t>Mass Timber</t>
        </is>
      </c>
      <c r="H41" s="19">
        <f>D41*'Parameters &amp; Inputs'!$B$15</f>
        <v/>
      </c>
      <c r="I41" s="24">
        <f>(4*SQRT(C41))*(B41*'Parameters &amp; Inputs'!$B$14)*E41*'Parameters &amp; Inputs'!$B$16</f>
        <v/>
      </c>
      <c r="J41" s="25">
        <f>((H41*IF(G41="Mass Timber",'Parameters &amp; Inputs'!$B$7,'Parameters &amp; Inputs'!$B$6)) + (I41*'Parameters &amp; Inputs'!$B$8))/1000</f>
        <v/>
      </c>
      <c r="K41" s="26">
        <f>MAX('Parameters &amp; Inputs'!$B$13, 'Parameters &amp; Inputs'!$B$9 + (E41*'Parameters &amp; Inputs'!$B$10) - (F41*'Parameters &amp; Inputs'!$B$11) - IF(G41="Concrete",'Parameters &amp; Inputs'!$B$12,0))</f>
        <v/>
      </c>
      <c r="L41" s="25">
        <f>(D41*K41*'Parameters &amp; Inputs'!$B$5*'Parameters &amp; Inputs'!$B$4)/1000</f>
        <v/>
      </c>
      <c r="M41" s="25">
        <f>J41+L41</f>
        <v/>
      </c>
      <c r="N41" s="19">
        <f>(M41*1000)/D41</f>
        <v/>
      </c>
      <c r="O41" s="16">
        <f>IF(COUNTIFS($J$2:$J$201, "&lt;"&amp;J41, $L$2:$L$201, "&lt;"&amp;L41)=0, "PARETO", "Sub-optimal")</f>
        <v/>
      </c>
    </row>
    <row r="42" ht="20" customHeight="1">
      <c r="A42" s="10" t="n">
        <v>41</v>
      </c>
      <c r="B42" s="12" t="n">
        <v>6</v>
      </c>
      <c r="C42" s="14" t="n">
        <v>913.1</v>
      </c>
      <c r="D42" s="14">
        <f>B42*C42</f>
        <v/>
      </c>
      <c r="E42" s="13" t="n">
        <v>0.74</v>
      </c>
      <c r="F42" s="13" t="n">
        <v>0.91</v>
      </c>
      <c r="G42" s="11" t="inlineStr">
        <is>
          <t>Concrete</t>
        </is>
      </c>
      <c r="H42" s="14">
        <f>D42*'Parameters &amp; Inputs'!$B$15</f>
        <v/>
      </c>
      <c r="I42" s="21">
        <f>(4*SQRT(C42))*(B42*'Parameters &amp; Inputs'!$B$14)*E42*'Parameters &amp; Inputs'!$B$16</f>
        <v/>
      </c>
      <c r="J42" s="22">
        <f>((H42*IF(G42="Mass Timber",'Parameters &amp; Inputs'!$B$7,'Parameters &amp; Inputs'!$B$6)) + (I42*'Parameters &amp; Inputs'!$B$8))/1000</f>
        <v/>
      </c>
      <c r="K42" s="23">
        <f>MAX('Parameters &amp; Inputs'!$B$13, 'Parameters &amp; Inputs'!$B$9 + (E42*'Parameters &amp; Inputs'!$B$10) - (F42*'Parameters &amp; Inputs'!$B$11) - IF(G42="Concrete",'Parameters &amp; Inputs'!$B$12,0))</f>
        <v/>
      </c>
      <c r="L42" s="22">
        <f>(D42*K42*'Parameters &amp; Inputs'!$B$5*'Parameters &amp; Inputs'!$B$4)/1000</f>
        <v/>
      </c>
      <c r="M42" s="22">
        <f>J42+L42</f>
        <v/>
      </c>
      <c r="N42" s="14">
        <f>(M42*1000)/D42</f>
        <v/>
      </c>
      <c r="O42" s="11">
        <f>IF(COUNTIFS($J$2:$J$201, "&lt;"&amp;J42, $L$2:$L$201, "&lt;"&amp;L42)=0, "PARETO", "Sub-optimal")</f>
        <v/>
      </c>
    </row>
    <row r="43" ht="20" customHeight="1">
      <c r="A43" s="15" t="n">
        <v>42</v>
      </c>
      <c r="B43" s="17" t="n">
        <v>14</v>
      </c>
      <c r="C43" s="19" t="n">
        <v>1264.5</v>
      </c>
      <c r="D43" s="19">
        <f>B43*C43</f>
        <v/>
      </c>
      <c r="E43" s="18" t="n">
        <v>0.2</v>
      </c>
      <c r="F43" s="18" t="n">
        <v>0.24</v>
      </c>
      <c r="G43" s="16" t="inlineStr">
        <is>
          <t>Mass Timber</t>
        </is>
      </c>
      <c r="H43" s="19">
        <f>D43*'Parameters &amp; Inputs'!$B$15</f>
        <v/>
      </c>
      <c r="I43" s="24">
        <f>(4*SQRT(C43))*(B43*'Parameters &amp; Inputs'!$B$14)*E43*'Parameters &amp; Inputs'!$B$16</f>
        <v/>
      </c>
      <c r="J43" s="25">
        <f>((H43*IF(G43="Mass Timber",'Parameters &amp; Inputs'!$B$7,'Parameters &amp; Inputs'!$B$6)) + (I43*'Parameters &amp; Inputs'!$B$8))/1000</f>
        <v/>
      </c>
      <c r="K43" s="26">
        <f>MAX('Parameters &amp; Inputs'!$B$13, 'Parameters &amp; Inputs'!$B$9 + (E43*'Parameters &amp; Inputs'!$B$10) - (F43*'Parameters &amp; Inputs'!$B$11) - IF(G43="Concrete",'Parameters &amp; Inputs'!$B$12,0))</f>
        <v/>
      </c>
      <c r="L43" s="25">
        <f>(D43*K43*'Parameters &amp; Inputs'!$B$5*'Parameters &amp; Inputs'!$B$4)/1000</f>
        <v/>
      </c>
      <c r="M43" s="25">
        <f>J43+L43</f>
        <v/>
      </c>
      <c r="N43" s="19">
        <f>(M43*1000)/D43</f>
        <v/>
      </c>
      <c r="O43" s="16">
        <f>IF(COUNTIFS($J$2:$J$201, "&lt;"&amp;J43, $L$2:$L$201, "&lt;"&amp;L43)=0, "PARETO", "Sub-optimal")</f>
        <v/>
      </c>
    </row>
    <row r="44" ht="20" customHeight="1">
      <c r="A44" s="10" t="n">
        <v>43</v>
      </c>
      <c r="B44" s="12" t="n">
        <v>11</v>
      </c>
      <c r="C44" s="14" t="n">
        <v>1113.9</v>
      </c>
      <c r="D44" s="14">
        <f>B44*C44</f>
        <v/>
      </c>
      <c r="E44" s="13" t="n">
        <v>0.8</v>
      </c>
      <c r="F44" s="13" t="n">
        <v>0.26</v>
      </c>
      <c r="G44" s="11" t="inlineStr">
        <is>
          <t>Concrete</t>
        </is>
      </c>
      <c r="H44" s="14">
        <f>D44*'Parameters &amp; Inputs'!$B$15</f>
        <v/>
      </c>
      <c r="I44" s="21">
        <f>(4*SQRT(C44))*(B44*'Parameters &amp; Inputs'!$B$14)*E44*'Parameters &amp; Inputs'!$B$16</f>
        <v/>
      </c>
      <c r="J44" s="22">
        <f>((H44*IF(G44="Mass Timber",'Parameters &amp; Inputs'!$B$7,'Parameters &amp; Inputs'!$B$6)) + (I44*'Parameters &amp; Inputs'!$B$8))/1000</f>
        <v/>
      </c>
      <c r="K44" s="23">
        <f>MAX('Parameters &amp; Inputs'!$B$13, 'Parameters &amp; Inputs'!$B$9 + (E44*'Parameters &amp; Inputs'!$B$10) - (F44*'Parameters &amp; Inputs'!$B$11) - IF(G44="Concrete",'Parameters &amp; Inputs'!$B$12,0))</f>
        <v/>
      </c>
      <c r="L44" s="22">
        <f>(D44*K44*'Parameters &amp; Inputs'!$B$5*'Parameters &amp; Inputs'!$B$4)/1000</f>
        <v/>
      </c>
      <c r="M44" s="22">
        <f>J44+L44</f>
        <v/>
      </c>
      <c r="N44" s="14">
        <f>(M44*1000)/D44</f>
        <v/>
      </c>
      <c r="O44" s="11">
        <f>IF(COUNTIFS($J$2:$J$201, "&lt;"&amp;J44, $L$2:$L$201, "&lt;"&amp;L44)=0, "PARETO", "Sub-optimal")</f>
        <v/>
      </c>
    </row>
    <row r="45" ht="20" customHeight="1">
      <c r="A45" s="15" t="n">
        <v>44</v>
      </c>
      <c r="B45" s="17" t="n">
        <v>10</v>
      </c>
      <c r="C45" s="19" t="n">
        <v>925.2</v>
      </c>
      <c r="D45" s="19">
        <f>B45*C45</f>
        <v/>
      </c>
      <c r="E45" s="18" t="n">
        <v>0.42</v>
      </c>
      <c r="F45" s="18" t="n">
        <v>1.12</v>
      </c>
      <c r="G45" s="16" t="inlineStr">
        <is>
          <t>Mass Timber</t>
        </is>
      </c>
      <c r="H45" s="19">
        <f>D45*'Parameters &amp; Inputs'!$B$15</f>
        <v/>
      </c>
      <c r="I45" s="24">
        <f>(4*SQRT(C45))*(B45*'Parameters &amp; Inputs'!$B$14)*E45*'Parameters &amp; Inputs'!$B$16</f>
        <v/>
      </c>
      <c r="J45" s="25">
        <f>((H45*IF(G45="Mass Timber",'Parameters &amp; Inputs'!$B$7,'Parameters &amp; Inputs'!$B$6)) + (I45*'Parameters &amp; Inputs'!$B$8))/1000</f>
        <v/>
      </c>
      <c r="K45" s="26">
        <f>MAX('Parameters &amp; Inputs'!$B$13, 'Parameters &amp; Inputs'!$B$9 + (E45*'Parameters &amp; Inputs'!$B$10) - (F45*'Parameters &amp; Inputs'!$B$11) - IF(G45="Concrete",'Parameters &amp; Inputs'!$B$12,0))</f>
        <v/>
      </c>
      <c r="L45" s="25">
        <f>(D45*K45*'Parameters &amp; Inputs'!$B$5*'Parameters &amp; Inputs'!$B$4)/1000</f>
        <v/>
      </c>
      <c r="M45" s="25">
        <f>J45+L45</f>
        <v/>
      </c>
      <c r="N45" s="19">
        <f>(M45*1000)/D45</f>
        <v/>
      </c>
      <c r="O45" s="16">
        <f>IF(COUNTIFS($J$2:$J$201, "&lt;"&amp;J45, $L$2:$L$201, "&lt;"&amp;L45)=0, "PARETO", "Sub-optimal")</f>
        <v/>
      </c>
    </row>
    <row r="46" ht="20" customHeight="1">
      <c r="A46" s="10" t="n">
        <v>45</v>
      </c>
      <c r="B46" s="12" t="n">
        <v>6</v>
      </c>
      <c r="C46" s="14" t="n">
        <v>1179.8</v>
      </c>
      <c r="D46" s="14">
        <f>B46*C46</f>
        <v/>
      </c>
      <c r="E46" s="13" t="n">
        <v>0.51</v>
      </c>
      <c r="F46" s="13" t="n">
        <v>0.95</v>
      </c>
      <c r="G46" s="11" t="inlineStr">
        <is>
          <t>Concrete</t>
        </is>
      </c>
      <c r="H46" s="14">
        <f>D46*'Parameters &amp; Inputs'!$B$15</f>
        <v/>
      </c>
      <c r="I46" s="21">
        <f>(4*SQRT(C46))*(B46*'Parameters &amp; Inputs'!$B$14)*E46*'Parameters &amp; Inputs'!$B$16</f>
        <v/>
      </c>
      <c r="J46" s="22">
        <f>((H46*IF(G46="Mass Timber",'Parameters &amp; Inputs'!$B$7,'Parameters &amp; Inputs'!$B$6)) + (I46*'Parameters &amp; Inputs'!$B$8))/1000</f>
        <v/>
      </c>
      <c r="K46" s="23">
        <f>MAX('Parameters &amp; Inputs'!$B$13, 'Parameters &amp; Inputs'!$B$9 + (E46*'Parameters &amp; Inputs'!$B$10) - (F46*'Parameters &amp; Inputs'!$B$11) - IF(G46="Concrete",'Parameters &amp; Inputs'!$B$12,0))</f>
        <v/>
      </c>
      <c r="L46" s="22">
        <f>(D46*K46*'Parameters &amp; Inputs'!$B$5*'Parameters &amp; Inputs'!$B$4)/1000</f>
        <v/>
      </c>
      <c r="M46" s="22">
        <f>J46+L46</f>
        <v/>
      </c>
      <c r="N46" s="14">
        <f>(M46*1000)/D46</f>
        <v/>
      </c>
      <c r="O46" s="11">
        <f>IF(COUNTIFS($J$2:$J$201, "&lt;"&amp;J46, $L$2:$L$201, "&lt;"&amp;L46)=0, "PARETO", "Sub-optimal")</f>
        <v/>
      </c>
    </row>
    <row r="47" ht="20" customHeight="1">
      <c r="A47" s="15" t="n">
        <v>46</v>
      </c>
      <c r="B47" s="17" t="n">
        <v>11</v>
      </c>
      <c r="C47" s="19" t="n">
        <v>1485.2</v>
      </c>
      <c r="D47" s="19">
        <f>B47*C47</f>
        <v/>
      </c>
      <c r="E47" s="18" t="n">
        <v>0.49</v>
      </c>
      <c r="F47" s="18" t="n">
        <v>1.36</v>
      </c>
      <c r="G47" s="16" t="inlineStr">
        <is>
          <t>Concrete</t>
        </is>
      </c>
      <c r="H47" s="19">
        <f>D47*'Parameters &amp; Inputs'!$B$15</f>
        <v/>
      </c>
      <c r="I47" s="24">
        <f>(4*SQRT(C47))*(B47*'Parameters &amp; Inputs'!$B$14)*E47*'Parameters &amp; Inputs'!$B$16</f>
        <v/>
      </c>
      <c r="J47" s="25">
        <f>((H47*IF(G47="Mass Timber",'Parameters &amp; Inputs'!$B$7,'Parameters &amp; Inputs'!$B$6)) + (I47*'Parameters &amp; Inputs'!$B$8))/1000</f>
        <v/>
      </c>
      <c r="K47" s="26">
        <f>MAX('Parameters &amp; Inputs'!$B$13, 'Parameters &amp; Inputs'!$B$9 + (E47*'Parameters &amp; Inputs'!$B$10) - (F47*'Parameters &amp; Inputs'!$B$11) - IF(G47="Concrete",'Parameters &amp; Inputs'!$B$12,0))</f>
        <v/>
      </c>
      <c r="L47" s="25">
        <f>(D47*K47*'Parameters &amp; Inputs'!$B$5*'Parameters &amp; Inputs'!$B$4)/1000</f>
        <v/>
      </c>
      <c r="M47" s="25">
        <f>J47+L47</f>
        <v/>
      </c>
      <c r="N47" s="19">
        <f>(M47*1000)/D47</f>
        <v/>
      </c>
      <c r="O47" s="16">
        <f>IF(COUNTIFS($J$2:$J$201, "&lt;"&amp;J47, $L$2:$L$201, "&lt;"&amp;L47)=0, "PARETO", "Sub-optimal")</f>
        <v/>
      </c>
    </row>
    <row r="48" ht="20" customHeight="1">
      <c r="A48" s="10" t="n">
        <v>47</v>
      </c>
      <c r="B48" s="12" t="n">
        <v>10</v>
      </c>
      <c r="C48" s="14" t="n">
        <v>1151.8</v>
      </c>
      <c r="D48" s="14">
        <f>B48*C48</f>
        <v/>
      </c>
      <c r="E48" s="13" t="n">
        <v>0.55</v>
      </c>
      <c r="F48" s="13" t="n">
        <v>0.74</v>
      </c>
      <c r="G48" s="11" t="inlineStr">
        <is>
          <t>Concrete</t>
        </is>
      </c>
      <c r="H48" s="14">
        <f>D48*'Parameters &amp; Inputs'!$B$15</f>
        <v/>
      </c>
      <c r="I48" s="21">
        <f>(4*SQRT(C48))*(B48*'Parameters &amp; Inputs'!$B$14)*E48*'Parameters &amp; Inputs'!$B$16</f>
        <v/>
      </c>
      <c r="J48" s="22">
        <f>((H48*IF(G48="Mass Timber",'Parameters &amp; Inputs'!$B$7,'Parameters &amp; Inputs'!$B$6)) + (I48*'Parameters &amp; Inputs'!$B$8))/1000</f>
        <v/>
      </c>
      <c r="K48" s="23">
        <f>MAX('Parameters &amp; Inputs'!$B$13, 'Parameters &amp; Inputs'!$B$9 + (E48*'Parameters &amp; Inputs'!$B$10) - (F48*'Parameters &amp; Inputs'!$B$11) - IF(G48="Concrete",'Parameters &amp; Inputs'!$B$12,0))</f>
        <v/>
      </c>
      <c r="L48" s="22">
        <f>(D48*K48*'Parameters &amp; Inputs'!$B$5*'Parameters &amp; Inputs'!$B$4)/1000</f>
        <v/>
      </c>
      <c r="M48" s="22">
        <f>J48+L48</f>
        <v/>
      </c>
      <c r="N48" s="14">
        <f>(M48*1000)/D48</f>
        <v/>
      </c>
      <c r="O48" s="11">
        <f>IF(COUNTIFS($J$2:$J$201, "&lt;"&amp;J48, $L$2:$L$201, "&lt;"&amp;L48)=0, "PARETO", "Sub-optimal")</f>
        <v/>
      </c>
    </row>
    <row r="49" ht="20" customHeight="1">
      <c r="A49" s="15" t="n">
        <v>48</v>
      </c>
      <c r="B49" s="17" t="n">
        <v>8</v>
      </c>
      <c r="C49" s="19" t="n">
        <v>1200.4</v>
      </c>
      <c r="D49" s="19">
        <f>B49*C49</f>
        <v/>
      </c>
      <c r="E49" s="18" t="n">
        <v>0.66</v>
      </c>
      <c r="F49" s="18" t="n">
        <v>0.07000000000000001</v>
      </c>
      <c r="G49" s="16" t="inlineStr">
        <is>
          <t>Mass Timber</t>
        </is>
      </c>
      <c r="H49" s="19">
        <f>D49*'Parameters &amp; Inputs'!$B$15</f>
        <v/>
      </c>
      <c r="I49" s="24">
        <f>(4*SQRT(C49))*(B49*'Parameters &amp; Inputs'!$B$14)*E49*'Parameters &amp; Inputs'!$B$16</f>
        <v/>
      </c>
      <c r="J49" s="25">
        <f>((H49*IF(G49="Mass Timber",'Parameters &amp; Inputs'!$B$7,'Parameters &amp; Inputs'!$B$6)) + (I49*'Parameters &amp; Inputs'!$B$8))/1000</f>
        <v/>
      </c>
      <c r="K49" s="26">
        <f>MAX('Parameters &amp; Inputs'!$B$13, 'Parameters &amp; Inputs'!$B$9 + (E49*'Parameters &amp; Inputs'!$B$10) - (F49*'Parameters &amp; Inputs'!$B$11) - IF(G49="Concrete",'Parameters &amp; Inputs'!$B$12,0))</f>
        <v/>
      </c>
      <c r="L49" s="25">
        <f>(D49*K49*'Parameters &amp; Inputs'!$B$5*'Parameters &amp; Inputs'!$B$4)/1000</f>
        <v/>
      </c>
      <c r="M49" s="25">
        <f>J49+L49</f>
        <v/>
      </c>
      <c r="N49" s="19">
        <f>(M49*1000)/D49</f>
        <v/>
      </c>
      <c r="O49" s="16">
        <f>IF(COUNTIFS($J$2:$J$201, "&lt;"&amp;J49, $L$2:$L$201, "&lt;"&amp;L49)=0, "PARETO", "Sub-optimal")</f>
        <v/>
      </c>
    </row>
    <row r="50" ht="20" customHeight="1">
      <c r="A50" s="10" t="n">
        <v>49</v>
      </c>
      <c r="B50" s="12" t="n">
        <v>10</v>
      </c>
      <c r="C50" s="14" t="n">
        <v>1418.4</v>
      </c>
      <c r="D50" s="14">
        <f>B50*C50</f>
        <v/>
      </c>
      <c r="E50" s="13" t="n">
        <v>0.65</v>
      </c>
      <c r="F50" s="13" t="n">
        <v>1.43</v>
      </c>
      <c r="G50" s="11" t="inlineStr">
        <is>
          <t>Concrete</t>
        </is>
      </c>
      <c r="H50" s="14">
        <f>D50*'Parameters &amp; Inputs'!$B$15</f>
        <v/>
      </c>
      <c r="I50" s="21">
        <f>(4*SQRT(C50))*(B50*'Parameters &amp; Inputs'!$B$14)*E50*'Parameters &amp; Inputs'!$B$16</f>
        <v/>
      </c>
      <c r="J50" s="22">
        <f>((H50*IF(G50="Mass Timber",'Parameters &amp; Inputs'!$B$7,'Parameters &amp; Inputs'!$B$6)) + (I50*'Parameters &amp; Inputs'!$B$8))/1000</f>
        <v/>
      </c>
      <c r="K50" s="23">
        <f>MAX('Parameters &amp; Inputs'!$B$13, 'Parameters &amp; Inputs'!$B$9 + (E50*'Parameters &amp; Inputs'!$B$10) - (F50*'Parameters &amp; Inputs'!$B$11) - IF(G50="Concrete",'Parameters &amp; Inputs'!$B$12,0))</f>
        <v/>
      </c>
      <c r="L50" s="22">
        <f>(D50*K50*'Parameters &amp; Inputs'!$B$5*'Parameters &amp; Inputs'!$B$4)/1000</f>
        <v/>
      </c>
      <c r="M50" s="22">
        <f>J50+L50</f>
        <v/>
      </c>
      <c r="N50" s="14">
        <f>(M50*1000)/D50</f>
        <v/>
      </c>
      <c r="O50" s="11">
        <f>IF(COUNTIFS($J$2:$J$201, "&lt;"&amp;J50, $L$2:$L$201, "&lt;"&amp;L50)=0, "PARETO", "Sub-optimal")</f>
        <v/>
      </c>
    </row>
    <row r="51" ht="20" customHeight="1">
      <c r="A51" s="15" t="n">
        <v>50</v>
      </c>
      <c r="B51" s="17" t="n">
        <v>10</v>
      </c>
      <c r="C51" s="19" t="n">
        <v>1200.6</v>
      </c>
      <c r="D51" s="19">
        <f>B51*C51</f>
        <v/>
      </c>
      <c r="E51" s="18" t="n">
        <v>0.79</v>
      </c>
      <c r="F51" s="18" t="n">
        <v>0.11</v>
      </c>
      <c r="G51" s="16" t="inlineStr">
        <is>
          <t>Concrete</t>
        </is>
      </c>
      <c r="H51" s="19">
        <f>D51*'Parameters &amp; Inputs'!$B$15</f>
        <v/>
      </c>
      <c r="I51" s="24">
        <f>(4*SQRT(C51))*(B51*'Parameters &amp; Inputs'!$B$14)*E51*'Parameters &amp; Inputs'!$B$16</f>
        <v/>
      </c>
      <c r="J51" s="25">
        <f>((H51*IF(G51="Mass Timber",'Parameters &amp; Inputs'!$B$7,'Parameters &amp; Inputs'!$B$6)) + (I51*'Parameters &amp; Inputs'!$B$8))/1000</f>
        <v/>
      </c>
      <c r="K51" s="26">
        <f>MAX('Parameters &amp; Inputs'!$B$13, 'Parameters &amp; Inputs'!$B$9 + (E51*'Parameters &amp; Inputs'!$B$10) - (F51*'Parameters &amp; Inputs'!$B$11) - IF(G51="Concrete",'Parameters &amp; Inputs'!$B$12,0))</f>
        <v/>
      </c>
      <c r="L51" s="25">
        <f>(D51*K51*'Parameters &amp; Inputs'!$B$5*'Parameters &amp; Inputs'!$B$4)/1000</f>
        <v/>
      </c>
      <c r="M51" s="25">
        <f>J51+L51</f>
        <v/>
      </c>
      <c r="N51" s="19">
        <f>(M51*1000)/D51</f>
        <v/>
      </c>
      <c r="O51" s="16">
        <f>IF(COUNTIFS($J$2:$J$201, "&lt;"&amp;J51, $L$2:$L$201, "&lt;"&amp;L51)=0, "PARETO", "Sub-optimal")</f>
        <v/>
      </c>
    </row>
    <row r="52" ht="20" customHeight="1">
      <c r="A52" s="10" t="n">
        <v>51</v>
      </c>
      <c r="B52" s="12" t="n">
        <v>12</v>
      </c>
      <c r="C52" s="14" t="n">
        <v>987.9</v>
      </c>
      <c r="D52" s="14">
        <f>B52*C52</f>
        <v/>
      </c>
      <c r="E52" s="13" t="n">
        <v>0.49</v>
      </c>
      <c r="F52" s="13" t="n">
        <v>0.5600000000000001</v>
      </c>
      <c r="G52" s="11" t="inlineStr">
        <is>
          <t>Concrete</t>
        </is>
      </c>
      <c r="H52" s="14">
        <f>D52*'Parameters &amp; Inputs'!$B$15</f>
        <v/>
      </c>
      <c r="I52" s="21">
        <f>(4*SQRT(C52))*(B52*'Parameters &amp; Inputs'!$B$14)*E52*'Parameters &amp; Inputs'!$B$16</f>
        <v/>
      </c>
      <c r="J52" s="22">
        <f>((H52*IF(G52="Mass Timber",'Parameters &amp; Inputs'!$B$7,'Parameters &amp; Inputs'!$B$6)) + (I52*'Parameters &amp; Inputs'!$B$8))/1000</f>
        <v/>
      </c>
      <c r="K52" s="23">
        <f>MAX('Parameters &amp; Inputs'!$B$13, 'Parameters &amp; Inputs'!$B$9 + (E52*'Parameters &amp; Inputs'!$B$10) - (F52*'Parameters &amp; Inputs'!$B$11) - IF(G52="Concrete",'Parameters &amp; Inputs'!$B$12,0))</f>
        <v/>
      </c>
      <c r="L52" s="22">
        <f>(D52*K52*'Parameters &amp; Inputs'!$B$5*'Parameters &amp; Inputs'!$B$4)/1000</f>
        <v/>
      </c>
      <c r="M52" s="22">
        <f>J52+L52</f>
        <v/>
      </c>
      <c r="N52" s="14">
        <f>(M52*1000)/D52</f>
        <v/>
      </c>
      <c r="O52" s="11">
        <f>IF(COUNTIFS($J$2:$J$201, "&lt;"&amp;J52, $L$2:$L$201, "&lt;"&amp;L52)=0, "PARETO", "Sub-optimal")</f>
        <v/>
      </c>
    </row>
    <row r="53" ht="20" customHeight="1">
      <c r="A53" s="15" t="n">
        <v>52</v>
      </c>
      <c r="B53" s="17" t="n">
        <v>11</v>
      </c>
      <c r="C53" s="19" t="n">
        <v>1287.2</v>
      </c>
      <c r="D53" s="19">
        <f>B53*C53</f>
        <v/>
      </c>
      <c r="E53" s="18" t="n">
        <v>0.54</v>
      </c>
      <c r="F53" s="18" t="n">
        <v>0.15</v>
      </c>
      <c r="G53" s="16" t="inlineStr">
        <is>
          <t>Mass Timber</t>
        </is>
      </c>
      <c r="H53" s="19">
        <f>D53*'Parameters &amp; Inputs'!$B$15</f>
        <v/>
      </c>
      <c r="I53" s="24">
        <f>(4*SQRT(C53))*(B53*'Parameters &amp; Inputs'!$B$14)*E53*'Parameters &amp; Inputs'!$B$16</f>
        <v/>
      </c>
      <c r="J53" s="25">
        <f>((H53*IF(G53="Mass Timber",'Parameters &amp; Inputs'!$B$7,'Parameters &amp; Inputs'!$B$6)) + (I53*'Parameters &amp; Inputs'!$B$8))/1000</f>
        <v/>
      </c>
      <c r="K53" s="26">
        <f>MAX('Parameters &amp; Inputs'!$B$13, 'Parameters &amp; Inputs'!$B$9 + (E53*'Parameters &amp; Inputs'!$B$10) - (F53*'Parameters &amp; Inputs'!$B$11) - IF(G53="Concrete",'Parameters &amp; Inputs'!$B$12,0))</f>
        <v/>
      </c>
      <c r="L53" s="25">
        <f>(D53*K53*'Parameters &amp; Inputs'!$B$5*'Parameters &amp; Inputs'!$B$4)/1000</f>
        <v/>
      </c>
      <c r="M53" s="25">
        <f>J53+L53</f>
        <v/>
      </c>
      <c r="N53" s="19">
        <f>(M53*1000)/D53</f>
        <v/>
      </c>
      <c r="O53" s="16">
        <f>IF(COUNTIFS($J$2:$J$201, "&lt;"&amp;J53, $L$2:$L$201, "&lt;"&amp;L53)=0, "PARETO", "Sub-optimal")</f>
        <v/>
      </c>
    </row>
    <row r="54" ht="20" customHeight="1">
      <c r="A54" s="10" t="n">
        <v>53</v>
      </c>
      <c r="B54" s="12" t="n">
        <v>11</v>
      </c>
      <c r="C54" s="14" t="n">
        <v>1051.1</v>
      </c>
      <c r="D54" s="14">
        <f>B54*C54</f>
        <v/>
      </c>
      <c r="E54" s="13" t="n">
        <v>0.35</v>
      </c>
      <c r="F54" s="13" t="n">
        <v>0.44</v>
      </c>
      <c r="G54" s="11" t="inlineStr">
        <is>
          <t>Concrete</t>
        </is>
      </c>
      <c r="H54" s="14">
        <f>D54*'Parameters &amp; Inputs'!$B$15</f>
        <v/>
      </c>
      <c r="I54" s="21">
        <f>(4*SQRT(C54))*(B54*'Parameters &amp; Inputs'!$B$14)*E54*'Parameters &amp; Inputs'!$B$16</f>
        <v/>
      </c>
      <c r="J54" s="22">
        <f>((H54*IF(G54="Mass Timber",'Parameters &amp; Inputs'!$B$7,'Parameters &amp; Inputs'!$B$6)) + (I54*'Parameters &amp; Inputs'!$B$8))/1000</f>
        <v/>
      </c>
      <c r="K54" s="23">
        <f>MAX('Parameters &amp; Inputs'!$B$13, 'Parameters &amp; Inputs'!$B$9 + (E54*'Parameters &amp; Inputs'!$B$10) - (F54*'Parameters &amp; Inputs'!$B$11) - IF(G54="Concrete",'Parameters &amp; Inputs'!$B$12,0))</f>
        <v/>
      </c>
      <c r="L54" s="22">
        <f>(D54*K54*'Parameters &amp; Inputs'!$B$5*'Parameters &amp; Inputs'!$B$4)/1000</f>
        <v/>
      </c>
      <c r="M54" s="22">
        <f>J54+L54</f>
        <v/>
      </c>
      <c r="N54" s="14">
        <f>(M54*1000)/D54</f>
        <v/>
      </c>
      <c r="O54" s="11">
        <f>IF(COUNTIFS($J$2:$J$201, "&lt;"&amp;J54, $L$2:$L$201, "&lt;"&amp;L54)=0, "PARETO", "Sub-optimal")</f>
        <v/>
      </c>
    </row>
    <row r="55" ht="20" customHeight="1">
      <c r="A55" s="15" t="n">
        <v>54</v>
      </c>
      <c r="B55" s="17" t="n">
        <v>13</v>
      </c>
      <c r="C55" s="19" t="n">
        <v>1287.9</v>
      </c>
      <c r="D55" s="19">
        <f>B55*C55</f>
        <v/>
      </c>
      <c r="E55" s="18" t="n">
        <v>0.62</v>
      </c>
      <c r="F55" s="18" t="n">
        <v>0.54</v>
      </c>
      <c r="G55" s="16" t="inlineStr">
        <is>
          <t>Concrete</t>
        </is>
      </c>
      <c r="H55" s="19">
        <f>D55*'Parameters &amp; Inputs'!$B$15</f>
        <v/>
      </c>
      <c r="I55" s="24">
        <f>(4*SQRT(C55))*(B55*'Parameters &amp; Inputs'!$B$14)*E55*'Parameters &amp; Inputs'!$B$16</f>
        <v/>
      </c>
      <c r="J55" s="25">
        <f>((H55*IF(G55="Mass Timber",'Parameters &amp; Inputs'!$B$7,'Parameters &amp; Inputs'!$B$6)) + (I55*'Parameters &amp; Inputs'!$B$8))/1000</f>
        <v/>
      </c>
      <c r="K55" s="26">
        <f>MAX('Parameters &amp; Inputs'!$B$13, 'Parameters &amp; Inputs'!$B$9 + (E55*'Parameters &amp; Inputs'!$B$10) - (F55*'Parameters &amp; Inputs'!$B$11) - IF(G55="Concrete",'Parameters &amp; Inputs'!$B$12,0))</f>
        <v/>
      </c>
      <c r="L55" s="25">
        <f>(D55*K55*'Parameters &amp; Inputs'!$B$5*'Parameters &amp; Inputs'!$B$4)/1000</f>
        <v/>
      </c>
      <c r="M55" s="25">
        <f>J55+L55</f>
        <v/>
      </c>
      <c r="N55" s="19">
        <f>(M55*1000)/D55</f>
        <v/>
      </c>
      <c r="O55" s="16">
        <f>IF(COUNTIFS($J$2:$J$201, "&lt;"&amp;J55, $L$2:$L$201, "&lt;"&amp;L55)=0, "PARETO", "Sub-optimal")</f>
        <v/>
      </c>
    </row>
    <row r="56" ht="20" customHeight="1">
      <c r="A56" s="10" t="n">
        <v>55</v>
      </c>
      <c r="B56" s="12" t="n">
        <v>12</v>
      </c>
      <c r="C56" s="14" t="n">
        <v>1093.8</v>
      </c>
      <c r="D56" s="14">
        <f>B56*C56</f>
        <v/>
      </c>
      <c r="E56" s="13" t="n">
        <v>0.35</v>
      </c>
      <c r="F56" s="13" t="n">
        <v>0.92</v>
      </c>
      <c r="G56" s="11" t="inlineStr">
        <is>
          <t>Concrete</t>
        </is>
      </c>
      <c r="H56" s="14">
        <f>D56*'Parameters &amp; Inputs'!$B$15</f>
        <v/>
      </c>
      <c r="I56" s="21">
        <f>(4*SQRT(C56))*(B56*'Parameters &amp; Inputs'!$B$14)*E56*'Parameters &amp; Inputs'!$B$16</f>
        <v/>
      </c>
      <c r="J56" s="22">
        <f>((H56*IF(G56="Mass Timber",'Parameters &amp; Inputs'!$B$7,'Parameters &amp; Inputs'!$B$6)) + (I56*'Parameters &amp; Inputs'!$B$8))/1000</f>
        <v/>
      </c>
      <c r="K56" s="23">
        <f>MAX('Parameters &amp; Inputs'!$B$13, 'Parameters &amp; Inputs'!$B$9 + (E56*'Parameters &amp; Inputs'!$B$10) - (F56*'Parameters &amp; Inputs'!$B$11) - IF(G56="Concrete",'Parameters &amp; Inputs'!$B$12,0))</f>
        <v/>
      </c>
      <c r="L56" s="22">
        <f>(D56*K56*'Parameters &amp; Inputs'!$B$5*'Parameters &amp; Inputs'!$B$4)/1000</f>
        <v/>
      </c>
      <c r="M56" s="22">
        <f>J56+L56</f>
        <v/>
      </c>
      <c r="N56" s="14">
        <f>(M56*1000)/D56</f>
        <v/>
      </c>
      <c r="O56" s="11">
        <f>IF(COUNTIFS($J$2:$J$201, "&lt;"&amp;J56, $L$2:$L$201, "&lt;"&amp;L56)=0, "PARETO", "Sub-optimal")</f>
        <v/>
      </c>
    </row>
    <row r="57" ht="20" customHeight="1">
      <c r="A57" s="15" t="n">
        <v>56</v>
      </c>
      <c r="B57" s="17" t="n">
        <v>12</v>
      </c>
      <c r="C57" s="19" t="n">
        <v>1151.1</v>
      </c>
      <c r="D57" s="19">
        <f>B57*C57</f>
        <v/>
      </c>
      <c r="E57" s="18" t="n">
        <v>0.68</v>
      </c>
      <c r="F57" s="18" t="n">
        <v>0.97</v>
      </c>
      <c r="G57" s="16" t="inlineStr">
        <is>
          <t>Mass Timber</t>
        </is>
      </c>
      <c r="H57" s="19">
        <f>D57*'Parameters &amp; Inputs'!$B$15</f>
        <v/>
      </c>
      <c r="I57" s="24">
        <f>(4*SQRT(C57))*(B57*'Parameters &amp; Inputs'!$B$14)*E57*'Parameters &amp; Inputs'!$B$16</f>
        <v/>
      </c>
      <c r="J57" s="25">
        <f>((H57*IF(G57="Mass Timber",'Parameters &amp; Inputs'!$B$7,'Parameters &amp; Inputs'!$B$6)) + (I57*'Parameters &amp; Inputs'!$B$8))/1000</f>
        <v/>
      </c>
      <c r="K57" s="26">
        <f>MAX('Parameters &amp; Inputs'!$B$13, 'Parameters &amp; Inputs'!$B$9 + (E57*'Parameters &amp; Inputs'!$B$10) - (F57*'Parameters &amp; Inputs'!$B$11) - IF(G57="Concrete",'Parameters &amp; Inputs'!$B$12,0))</f>
        <v/>
      </c>
      <c r="L57" s="25">
        <f>(D57*K57*'Parameters &amp; Inputs'!$B$5*'Parameters &amp; Inputs'!$B$4)/1000</f>
        <v/>
      </c>
      <c r="M57" s="25">
        <f>J57+L57</f>
        <v/>
      </c>
      <c r="N57" s="19">
        <f>(M57*1000)/D57</f>
        <v/>
      </c>
      <c r="O57" s="16">
        <f>IF(COUNTIFS($J$2:$J$201, "&lt;"&amp;J57, $L$2:$L$201, "&lt;"&amp;L57)=0, "PARETO", "Sub-optimal")</f>
        <v/>
      </c>
    </row>
    <row r="58" ht="20" customHeight="1">
      <c r="A58" s="10" t="n">
        <v>57</v>
      </c>
      <c r="B58" s="12" t="n">
        <v>8</v>
      </c>
      <c r="C58" s="14" t="n">
        <v>1036.6</v>
      </c>
      <c r="D58" s="14">
        <f>B58*C58</f>
        <v/>
      </c>
      <c r="E58" s="13" t="n">
        <v>0.43</v>
      </c>
      <c r="F58" s="13" t="n">
        <v>0.14</v>
      </c>
      <c r="G58" s="11" t="inlineStr">
        <is>
          <t>Mass Timber</t>
        </is>
      </c>
      <c r="H58" s="14">
        <f>D58*'Parameters &amp; Inputs'!$B$15</f>
        <v/>
      </c>
      <c r="I58" s="21">
        <f>(4*SQRT(C58))*(B58*'Parameters &amp; Inputs'!$B$14)*E58*'Parameters &amp; Inputs'!$B$16</f>
        <v/>
      </c>
      <c r="J58" s="22">
        <f>((H58*IF(G58="Mass Timber",'Parameters &amp; Inputs'!$B$7,'Parameters &amp; Inputs'!$B$6)) + (I58*'Parameters &amp; Inputs'!$B$8))/1000</f>
        <v/>
      </c>
      <c r="K58" s="23">
        <f>MAX('Parameters &amp; Inputs'!$B$13, 'Parameters &amp; Inputs'!$B$9 + (E58*'Parameters &amp; Inputs'!$B$10) - (F58*'Parameters &amp; Inputs'!$B$11) - IF(G58="Concrete",'Parameters &amp; Inputs'!$B$12,0))</f>
        <v/>
      </c>
      <c r="L58" s="22">
        <f>(D58*K58*'Parameters &amp; Inputs'!$B$5*'Parameters &amp; Inputs'!$B$4)/1000</f>
        <v/>
      </c>
      <c r="M58" s="22">
        <f>J58+L58</f>
        <v/>
      </c>
      <c r="N58" s="14">
        <f>(M58*1000)/D58</f>
        <v/>
      </c>
      <c r="O58" s="11">
        <f>IF(COUNTIFS($J$2:$J$201, "&lt;"&amp;J58, $L$2:$L$201, "&lt;"&amp;L58)=0, "PARETO", "Sub-optimal")</f>
        <v/>
      </c>
    </row>
    <row r="59" ht="20" customHeight="1">
      <c r="A59" s="15" t="n">
        <v>58</v>
      </c>
      <c r="B59" s="17" t="n">
        <v>11</v>
      </c>
      <c r="C59" s="19" t="n">
        <v>1029.7</v>
      </c>
      <c r="D59" s="19">
        <f>B59*C59</f>
        <v/>
      </c>
      <c r="E59" s="18" t="n">
        <v>0.29</v>
      </c>
      <c r="F59" s="18" t="n">
        <v>1.47</v>
      </c>
      <c r="G59" s="16" t="inlineStr">
        <is>
          <t>Mass Timber</t>
        </is>
      </c>
      <c r="H59" s="19">
        <f>D59*'Parameters &amp; Inputs'!$B$15</f>
        <v/>
      </c>
      <c r="I59" s="24">
        <f>(4*SQRT(C59))*(B59*'Parameters &amp; Inputs'!$B$14)*E59*'Parameters &amp; Inputs'!$B$16</f>
        <v/>
      </c>
      <c r="J59" s="25">
        <f>((H59*IF(G59="Mass Timber",'Parameters &amp; Inputs'!$B$7,'Parameters &amp; Inputs'!$B$6)) + (I59*'Parameters &amp; Inputs'!$B$8))/1000</f>
        <v/>
      </c>
      <c r="K59" s="26">
        <f>MAX('Parameters &amp; Inputs'!$B$13, 'Parameters &amp; Inputs'!$B$9 + (E59*'Parameters &amp; Inputs'!$B$10) - (F59*'Parameters &amp; Inputs'!$B$11) - IF(G59="Concrete",'Parameters &amp; Inputs'!$B$12,0))</f>
        <v/>
      </c>
      <c r="L59" s="25">
        <f>(D59*K59*'Parameters &amp; Inputs'!$B$5*'Parameters &amp; Inputs'!$B$4)/1000</f>
        <v/>
      </c>
      <c r="M59" s="25">
        <f>J59+L59</f>
        <v/>
      </c>
      <c r="N59" s="19">
        <f>(M59*1000)/D59</f>
        <v/>
      </c>
      <c r="O59" s="16">
        <f>IF(COUNTIFS($J$2:$J$201, "&lt;"&amp;J59, $L$2:$L$201, "&lt;"&amp;L59)=0, "PARETO", "Sub-optimal")</f>
        <v/>
      </c>
    </row>
    <row r="60" ht="20" customHeight="1">
      <c r="A60" s="10" t="n">
        <v>59</v>
      </c>
      <c r="B60" s="12" t="n">
        <v>11</v>
      </c>
      <c r="C60" s="14" t="n">
        <v>975.2</v>
      </c>
      <c r="D60" s="14">
        <f>B60*C60</f>
        <v/>
      </c>
      <c r="E60" s="13" t="n">
        <v>0.22</v>
      </c>
      <c r="F60" s="13" t="n">
        <v>0.45</v>
      </c>
      <c r="G60" s="11" t="inlineStr">
        <is>
          <t>Mass Timber</t>
        </is>
      </c>
      <c r="H60" s="14">
        <f>D60*'Parameters &amp; Inputs'!$B$15</f>
        <v/>
      </c>
      <c r="I60" s="21">
        <f>(4*SQRT(C60))*(B60*'Parameters &amp; Inputs'!$B$14)*E60*'Parameters &amp; Inputs'!$B$16</f>
        <v/>
      </c>
      <c r="J60" s="22">
        <f>((H60*IF(G60="Mass Timber",'Parameters &amp; Inputs'!$B$7,'Parameters &amp; Inputs'!$B$6)) + (I60*'Parameters &amp; Inputs'!$B$8))/1000</f>
        <v/>
      </c>
      <c r="K60" s="23">
        <f>MAX('Parameters &amp; Inputs'!$B$13, 'Parameters &amp; Inputs'!$B$9 + (E60*'Parameters &amp; Inputs'!$B$10) - (F60*'Parameters &amp; Inputs'!$B$11) - IF(G60="Concrete",'Parameters &amp; Inputs'!$B$12,0))</f>
        <v/>
      </c>
      <c r="L60" s="22">
        <f>(D60*K60*'Parameters &amp; Inputs'!$B$5*'Parameters &amp; Inputs'!$B$4)/1000</f>
        <v/>
      </c>
      <c r="M60" s="22">
        <f>J60+L60</f>
        <v/>
      </c>
      <c r="N60" s="14">
        <f>(M60*1000)/D60</f>
        <v/>
      </c>
      <c r="O60" s="11">
        <f>IF(COUNTIFS($J$2:$J$201, "&lt;"&amp;J60, $L$2:$L$201, "&lt;"&amp;L60)=0, "PARETO", "Sub-optimal")</f>
        <v/>
      </c>
    </row>
    <row r="61" ht="20" customHeight="1">
      <c r="A61" s="15" t="n">
        <v>60</v>
      </c>
      <c r="B61" s="17" t="n">
        <v>10</v>
      </c>
      <c r="C61" s="19" t="n">
        <v>1165.6</v>
      </c>
      <c r="D61" s="19">
        <f>B61*C61</f>
        <v/>
      </c>
      <c r="E61" s="18" t="n">
        <v>0.66</v>
      </c>
      <c r="F61" s="18" t="n">
        <v>0.32</v>
      </c>
      <c r="G61" s="16" t="inlineStr">
        <is>
          <t>Mass Timber</t>
        </is>
      </c>
      <c r="H61" s="19">
        <f>D61*'Parameters &amp; Inputs'!$B$15</f>
        <v/>
      </c>
      <c r="I61" s="24">
        <f>(4*SQRT(C61))*(B61*'Parameters &amp; Inputs'!$B$14)*E61*'Parameters &amp; Inputs'!$B$16</f>
        <v/>
      </c>
      <c r="J61" s="25">
        <f>((H61*IF(G61="Mass Timber",'Parameters &amp; Inputs'!$B$7,'Parameters &amp; Inputs'!$B$6)) + (I61*'Parameters &amp; Inputs'!$B$8))/1000</f>
        <v/>
      </c>
      <c r="K61" s="26">
        <f>MAX('Parameters &amp; Inputs'!$B$13, 'Parameters &amp; Inputs'!$B$9 + (E61*'Parameters &amp; Inputs'!$B$10) - (F61*'Parameters &amp; Inputs'!$B$11) - IF(G61="Concrete",'Parameters &amp; Inputs'!$B$12,0))</f>
        <v/>
      </c>
      <c r="L61" s="25">
        <f>(D61*K61*'Parameters &amp; Inputs'!$B$5*'Parameters &amp; Inputs'!$B$4)/1000</f>
        <v/>
      </c>
      <c r="M61" s="25">
        <f>J61+L61</f>
        <v/>
      </c>
      <c r="N61" s="19">
        <f>(M61*1000)/D61</f>
        <v/>
      </c>
      <c r="O61" s="16">
        <f>IF(COUNTIFS($J$2:$J$201, "&lt;"&amp;J61, $L$2:$L$201, "&lt;"&amp;L61)=0, "PARETO", "Sub-optimal")</f>
        <v/>
      </c>
    </row>
    <row r="62" ht="20" customHeight="1">
      <c r="A62" s="10" t="n">
        <v>61</v>
      </c>
      <c r="B62" s="12" t="n">
        <v>9</v>
      </c>
      <c r="C62" s="14" t="n">
        <v>1389.4</v>
      </c>
      <c r="D62" s="14">
        <f>B62*C62</f>
        <v/>
      </c>
      <c r="E62" s="13" t="n">
        <v>0.32</v>
      </c>
      <c r="F62" s="13" t="n">
        <v>0.62</v>
      </c>
      <c r="G62" s="11" t="inlineStr">
        <is>
          <t>Mass Timber</t>
        </is>
      </c>
      <c r="H62" s="14">
        <f>D62*'Parameters &amp; Inputs'!$B$15</f>
        <v/>
      </c>
      <c r="I62" s="21">
        <f>(4*SQRT(C62))*(B62*'Parameters &amp; Inputs'!$B$14)*E62*'Parameters &amp; Inputs'!$B$16</f>
        <v/>
      </c>
      <c r="J62" s="22">
        <f>((H62*IF(G62="Mass Timber",'Parameters &amp; Inputs'!$B$7,'Parameters &amp; Inputs'!$B$6)) + (I62*'Parameters &amp; Inputs'!$B$8))/1000</f>
        <v/>
      </c>
      <c r="K62" s="23">
        <f>MAX('Parameters &amp; Inputs'!$B$13, 'Parameters &amp; Inputs'!$B$9 + (E62*'Parameters &amp; Inputs'!$B$10) - (F62*'Parameters &amp; Inputs'!$B$11) - IF(G62="Concrete",'Parameters &amp; Inputs'!$B$12,0))</f>
        <v/>
      </c>
      <c r="L62" s="22">
        <f>(D62*K62*'Parameters &amp; Inputs'!$B$5*'Parameters &amp; Inputs'!$B$4)/1000</f>
        <v/>
      </c>
      <c r="M62" s="22">
        <f>J62+L62</f>
        <v/>
      </c>
      <c r="N62" s="14">
        <f>(M62*1000)/D62</f>
        <v/>
      </c>
      <c r="O62" s="11">
        <f>IF(COUNTIFS($J$2:$J$201, "&lt;"&amp;J62, $L$2:$L$201, "&lt;"&amp;L62)=0, "PARETO", "Sub-optimal")</f>
        <v/>
      </c>
    </row>
    <row r="63" ht="20" customHeight="1">
      <c r="A63" s="15" t="n">
        <v>62</v>
      </c>
      <c r="B63" s="17" t="n">
        <v>13</v>
      </c>
      <c r="C63" s="19" t="n">
        <v>1308.3</v>
      </c>
      <c r="D63" s="19">
        <f>B63*C63</f>
        <v/>
      </c>
      <c r="E63" s="18" t="n">
        <v>0.79</v>
      </c>
      <c r="F63" s="18" t="n">
        <v>0.77</v>
      </c>
      <c r="G63" s="16" t="inlineStr">
        <is>
          <t>Concrete</t>
        </is>
      </c>
      <c r="H63" s="19">
        <f>D63*'Parameters &amp; Inputs'!$B$15</f>
        <v/>
      </c>
      <c r="I63" s="24">
        <f>(4*SQRT(C63))*(B63*'Parameters &amp; Inputs'!$B$14)*E63*'Parameters &amp; Inputs'!$B$16</f>
        <v/>
      </c>
      <c r="J63" s="25">
        <f>((H63*IF(G63="Mass Timber",'Parameters &amp; Inputs'!$B$7,'Parameters &amp; Inputs'!$B$6)) + (I63*'Parameters &amp; Inputs'!$B$8))/1000</f>
        <v/>
      </c>
      <c r="K63" s="26">
        <f>MAX('Parameters &amp; Inputs'!$B$13, 'Parameters &amp; Inputs'!$B$9 + (E63*'Parameters &amp; Inputs'!$B$10) - (F63*'Parameters &amp; Inputs'!$B$11) - IF(G63="Concrete",'Parameters &amp; Inputs'!$B$12,0))</f>
        <v/>
      </c>
      <c r="L63" s="25">
        <f>(D63*K63*'Parameters &amp; Inputs'!$B$5*'Parameters &amp; Inputs'!$B$4)/1000</f>
        <v/>
      </c>
      <c r="M63" s="25">
        <f>J63+L63</f>
        <v/>
      </c>
      <c r="N63" s="19">
        <f>(M63*1000)/D63</f>
        <v/>
      </c>
      <c r="O63" s="16">
        <f>IF(COUNTIFS($J$2:$J$201, "&lt;"&amp;J63, $L$2:$L$201, "&lt;"&amp;L63)=0, "PARETO", "Sub-optimal")</f>
        <v/>
      </c>
    </row>
    <row r="64" ht="20" customHeight="1">
      <c r="A64" s="10" t="n">
        <v>63</v>
      </c>
      <c r="B64" s="12" t="n">
        <v>6</v>
      </c>
      <c r="C64" s="14" t="n">
        <v>1079.2</v>
      </c>
      <c r="D64" s="14">
        <f>B64*C64</f>
        <v/>
      </c>
      <c r="E64" s="13" t="n">
        <v>0.46</v>
      </c>
      <c r="F64" s="13" t="n">
        <v>1.12</v>
      </c>
      <c r="G64" s="11" t="inlineStr">
        <is>
          <t>Concrete</t>
        </is>
      </c>
      <c r="H64" s="14">
        <f>D64*'Parameters &amp; Inputs'!$B$15</f>
        <v/>
      </c>
      <c r="I64" s="21">
        <f>(4*SQRT(C64))*(B64*'Parameters &amp; Inputs'!$B$14)*E64*'Parameters &amp; Inputs'!$B$16</f>
        <v/>
      </c>
      <c r="J64" s="22">
        <f>((H64*IF(G64="Mass Timber",'Parameters &amp; Inputs'!$B$7,'Parameters &amp; Inputs'!$B$6)) + (I64*'Parameters &amp; Inputs'!$B$8))/1000</f>
        <v/>
      </c>
      <c r="K64" s="23">
        <f>MAX('Parameters &amp; Inputs'!$B$13, 'Parameters &amp; Inputs'!$B$9 + (E64*'Parameters &amp; Inputs'!$B$10) - (F64*'Parameters &amp; Inputs'!$B$11) - IF(G64="Concrete",'Parameters &amp; Inputs'!$B$12,0))</f>
        <v/>
      </c>
      <c r="L64" s="22">
        <f>(D64*K64*'Parameters &amp; Inputs'!$B$5*'Parameters &amp; Inputs'!$B$4)/1000</f>
        <v/>
      </c>
      <c r="M64" s="22">
        <f>J64+L64</f>
        <v/>
      </c>
      <c r="N64" s="14">
        <f>(M64*1000)/D64</f>
        <v/>
      </c>
      <c r="O64" s="11">
        <f>IF(COUNTIFS($J$2:$J$201, "&lt;"&amp;J64, $L$2:$L$201, "&lt;"&amp;L64)=0, "PARETO", "Sub-optimal")</f>
        <v/>
      </c>
    </row>
    <row r="65" ht="20" customHeight="1">
      <c r="A65" s="15" t="n">
        <v>64</v>
      </c>
      <c r="B65" s="17" t="n">
        <v>10</v>
      </c>
      <c r="C65" s="19" t="n">
        <v>856.6</v>
      </c>
      <c r="D65" s="19">
        <f>B65*C65</f>
        <v/>
      </c>
      <c r="E65" s="18" t="n">
        <v>0.46</v>
      </c>
      <c r="F65" s="18" t="n">
        <v>1.03</v>
      </c>
      <c r="G65" s="16" t="inlineStr">
        <is>
          <t>Concrete</t>
        </is>
      </c>
      <c r="H65" s="19">
        <f>D65*'Parameters &amp; Inputs'!$B$15</f>
        <v/>
      </c>
      <c r="I65" s="24">
        <f>(4*SQRT(C65))*(B65*'Parameters &amp; Inputs'!$B$14)*E65*'Parameters &amp; Inputs'!$B$16</f>
        <v/>
      </c>
      <c r="J65" s="25">
        <f>((H65*IF(G65="Mass Timber",'Parameters &amp; Inputs'!$B$7,'Parameters &amp; Inputs'!$B$6)) + (I65*'Parameters &amp; Inputs'!$B$8))/1000</f>
        <v/>
      </c>
      <c r="K65" s="26">
        <f>MAX('Parameters &amp; Inputs'!$B$13, 'Parameters &amp; Inputs'!$B$9 + (E65*'Parameters &amp; Inputs'!$B$10) - (F65*'Parameters &amp; Inputs'!$B$11) - IF(G65="Concrete",'Parameters &amp; Inputs'!$B$12,0))</f>
        <v/>
      </c>
      <c r="L65" s="25">
        <f>(D65*K65*'Parameters &amp; Inputs'!$B$5*'Parameters &amp; Inputs'!$B$4)/1000</f>
        <v/>
      </c>
      <c r="M65" s="25">
        <f>J65+L65</f>
        <v/>
      </c>
      <c r="N65" s="19">
        <f>(M65*1000)/D65</f>
        <v/>
      </c>
      <c r="O65" s="16">
        <f>IF(COUNTIFS($J$2:$J$201, "&lt;"&amp;J65, $L$2:$L$201, "&lt;"&amp;L65)=0, "PARETO", "Sub-optimal")</f>
        <v/>
      </c>
    </row>
    <row r="66" ht="20" customHeight="1">
      <c r="A66" s="10" t="n">
        <v>65</v>
      </c>
      <c r="B66" s="12" t="n">
        <v>6</v>
      </c>
      <c r="C66" s="14" t="n">
        <v>1109.6</v>
      </c>
      <c r="D66" s="14">
        <f>B66*C66</f>
        <v/>
      </c>
      <c r="E66" s="13" t="n">
        <v>0.34</v>
      </c>
      <c r="F66" s="13" t="n">
        <v>0.14</v>
      </c>
      <c r="G66" s="11" t="inlineStr">
        <is>
          <t>Concrete</t>
        </is>
      </c>
      <c r="H66" s="14">
        <f>D66*'Parameters &amp; Inputs'!$B$15</f>
        <v/>
      </c>
      <c r="I66" s="21">
        <f>(4*SQRT(C66))*(B66*'Parameters &amp; Inputs'!$B$14)*E66*'Parameters &amp; Inputs'!$B$16</f>
        <v/>
      </c>
      <c r="J66" s="22">
        <f>((H66*IF(G66="Mass Timber",'Parameters &amp; Inputs'!$B$7,'Parameters &amp; Inputs'!$B$6)) + (I66*'Parameters &amp; Inputs'!$B$8))/1000</f>
        <v/>
      </c>
      <c r="K66" s="23">
        <f>MAX('Parameters &amp; Inputs'!$B$13, 'Parameters &amp; Inputs'!$B$9 + (E66*'Parameters &amp; Inputs'!$B$10) - (F66*'Parameters &amp; Inputs'!$B$11) - IF(G66="Concrete",'Parameters &amp; Inputs'!$B$12,0))</f>
        <v/>
      </c>
      <c r="L66" s="22">
        <f>(D66*K66*'Parameters &amp; Inputs'!$B$5*'Parameters &amp; Inputs'!$B$4)/1000</f>
        <v/>
      </c>
      <c r="M66" s="22">
        <f>J66+L66</f>
        <v/>
      </c>
      <c r="N66" s="14">
        <f>(M66*1000)/D66</f>
        <v/>
      </c>
      <c r="O66" s="11">
        <f>IF(COUNTIFS($J$2:$J$201, "&lt;"&amp;J66, $L$2:$L$201, "&lt;"&amp;L66)=0, "PARETO", "Sub-optimal")</f>
        <v/>
      </c>
    </row>
    <row r="67" ht="20" customHeight="1">
      <c r="A67" s="15" t="n">
        <v>66</v>
      </c>
      <c r="B67" s="17" t="n">
        <v>10</v>
      </c>
      <c r="C67" s="19" t="n">
        <v>1246.8</v>
      </c>
      <c r="D67" s="19">
        <f>B67*C67</f>
        <v/>
      </c>
      <c r="E67" s="18" t="n">
        <v>0.51</v>
      </c>
      <c r="F67" s="18" t="n">
        <v>0.99</v>
      </c>
      <c r="G67" s="16" t="inlineStr">
        <is>
          <t>Concrete</t>
        </is>
      </c>
      <c r="H67" s="19">
        <f>D67*'Parameters &amp; Inputs'!$B$15</f>
        <v/>
      </c>
      <c r="I67" s="24">
        <f>(4*SQRT(C67))*(B67*'Parameters &amp; Inputs'!$B$14)*E67*'Parameters &amp; Inputs'!$B$16</f>
        <v/>
      </c>
      <c r="J67" s="25">
        <f>((H67*IF(G67="Mass Timber",'Parameters &amp; Inputs'!$B$7,'Parameters &amp; Inputs'!$B$6)) + (I67*'Parameters &amp; Inputs'!$B$8))/1000</f>
        <v/>
      </c>
      <c r="K67" s="26">
        <f>MAX('Parameters &amp; Inputs'!$B$13, 'Parameters &amp; Inputs'!$B$9 + (E67*'Parameters &amp; Inputs'!$B$10) - (F67*'Parameters &amp; Inputs'!$B$11) - IF(G67="Concrete",'Parameters &amp; Inputs'!$B$12,0))</f>
        <v/>
      </c>
      <c r="L67" s="25">
        <f>(D67*K67*'Parameters &amp; Inputs'!$B$5*'Parameters &amp; Inputs'!$B$4)/1000</f>
        <v/>
      </c>
      <c r="M67" s="25">
        <f>J67+L67</f>
        <v/>
      </c>
      <c r="N67" s="19">
        <f>(M67*1000)/D67</f>
        <v/>
      </c>
      <c r="O67" s="16">
        <f>IF(COUNTIFS($J$2:$J$201, "&lt;"&amp;J67, $L$2:$L$201, "&lt;"&amp;L67)=0, "PARETO", "Sub-optimal")</f>
        <v/>
      </c>
    </row>
    <row r="68" ht="20" customHeight="1">
      <c r="A68" s="10" t="n">
        <v>67</v>
      </c>
      <c r="B68" s="12" t="n">
        <v>12</v>
      </c>
      <c r="C68" s="14" t="n">
        <v>833.4</v>
      </c>
      <c r="D68" s="14">
        <f>B68*C68</f>
        <v/>
      </c>
      <c r="E68" s="13" t="n">
        <v>0.54</v>
      </c>
      <c r="F68" s="13" t="n">
        <v>0.24</v>
      </c>
      <c r="G68" s="11" t="inlineStr">
        <is>
          <t>Concrete</t>
        </is>
      </c>
      <c r="H68" s="14">
        <f>D68*'Parameters &amp; Inputs'!$B$15</f>
        <v/>
      </c>
      <c r="I68" s="21">
        <f>(4*SQRT(C68))*(B68*'Parameters &amp; Inputs'!$B$14)*E68*'Parameters &amp; Inputs'!$B$16</f>
        <v/>
      </c>
      <c r="J68" s="22">
        <f>((H68*IF(G68="Mass Timber",'Parameters &amp; Inputs'!$B$7,'Parameters &amp; Inputs'!$B$6)) + (I68*'Parameters &amp; Inputs'!$B$8))/1000</f>
        <v/>
      </c>
      <c r="K68" s="23">
        <f>MAX('Parameters &amp; Inputs'!$B$13, 'Parameters &amp; Inputs'!$B$9 + (E68*'Parameters &amp; Inputs'!$B$10) - (F68*'Parameters &amp; Inputs'!$B$11) - IF(G68="Concrete",'Parameters &amp; Inputs'!$B$12,0))</f>
        <v/>
      </c>
      <c r="L68" s="22">
        <f>(D68*K68*'Parameters &amp; Inputs'!$B$5*'Parameters &amp; Inputs'!$B$4)/1000</f>
        <v/>
      </c>
      <c r="M68" s="22">
        <f>J68+L68</f>
        <v/>
      </c>
      <c r="N68" s="14">
        <f>(M68*1000)/D68</f>
        <v/>
      </c>
      <c r="O68" s="11">
        <f>IF(COUNTIFS($J$2:$J$201, "&lt;"&amp;J68, $L$2:$L$201, "&lt;"&amp;L68)=0, "PARETO", "Sub-optimal")</f>
        <v/>
      </c>
    </row>
    <row r="69" ht="20" customHeight="1">
      <c r="A69" s="15" t="n">
        <v>68</v>
      </c>
      <c r="B69" s="17" t="n">
        <v>10</v>
      </c>
      <c r="C69" s="19" t="n">
        <v>865.9</v>
      </c>
      <c r="D69" s="19">
        <f>B69*C69</f>
        <v/>
      </c>
      <c r="E69" s="18" t="n">
        <v>0.39</v>
      </c>
      <c r="F69" s="18" t="n">
        <v>1.47</v>
      </c>
      <c r="G69" s="16" t="inlineStr">
        <is>
          <t>Concrete</t>
        </is>
      </c>
      <c r="H69" s="19">
        <f>D69*'Parameters &amp; Inputs'!$B$15</f>
        <v/>
      </c>
      <c r="I69" s="24">
        <f>(4*SQRT(C69))*(B69*'Parameters &amp; Inputs'!$B$14)*E69*'Parameters &amp; Inputs'!$B$16</f>
        <v/>
      </c>
      <c r="J69" s="25">
        <f>((H69*IF(G69="Mass Timber",'Parameters &amp; Inputs'!$B$7,'Parameters &amp; Inputs'!$B$6)) + (I69*'Parameters &amp; Inputs'!$B$8))/1000</f>
        <v/>
      </c>
      <c r="K69" s="26">
        <f>MAX('Parameters &amp; Inputs'!$B$13, 'Parameters &amp; Inputs'!$B$9 + (E69*'Parameters &amp; Inputs'!$B$10) - (F69*'Parameters &amp; Inputs'!$B$11) - IF(G69="Concrete",'Parameters &amp; Inputs'!$B$12,0))</f>
        <v/>
      </c>
      <c r="L69" s="25">
        <f>(D69*K69*'Parameters &amp; Inputs'!$B$5*'Parameters &amp; Inputs'!$B$4)/1000</f>
        <v/>
      </c>
      <c r="M69" s="25">
        <f>J69+L69</f>
        <v/>
      </c>
      <c r="N69" s="19">
        <f>(M69*1000)/D69</f>
        <v/>
      </c>
      <c r="O69" s="16">
        <f>IF(COUNTIFS($J$2:$J$201, "&lt;"&amp;J69, $L$2:$L$201, "&lt;"&amp;L69)=0, "PARETO", "Sub-optimal")</f>
        <v/>
      </c>
    </row>
    <row r="70" ht="20" customHeight="1">
      <c r="A70" s="10" t="n">
        <v>69</v>
      </c>
      <c r="B70" s="12" t="n">
        <v>10</v>
      </c>
      <c r="C70" s="14" t="n">
        <v>1131.4</v>
      </c>
      <c r="D70" s="14">
        <f>B70*C70</f>
        <v/>
      </c>
      <c r="E70" s="13" t="n">
        <v>0.3</v>
      </c>
      <c r="F70" s="13" t="n">
        <v>0.65</v>
      </c>
      <c r="G70" s="11" t="inlineStr">
        <is>
          <t>Concrete</t>
        </is>
      </c>
      <c r="H70" s="14">
        <f>D70*'Parameters &amp; Inputs'!$B$15</f>
        <v/>
      </c>
      <c r="I70" s="21">
        <f>(4*SQRT(C70))*(B70*'Parameters &amp; Inputs'!$B$14)*E70*'Parameters &amp; Inputs'!$B$16</f>
        <v/>
      </c>
      <c r="J70" s="22">
        <f>((H70*IF(G70="Mass Timber",'Parameters &amp; Inputs'!$B$7,'Parameters &amp; Inputs'!$B$6)) + (I70*'Parameters &amp; Inputs'!$B$8))/1000</f>
        <v/>
      </c>
      <c r="K70" s="23">
        <f>MAX('Parameters &amp; Inputs'!$B$13, 'Parameters &amp; Inputs'!$B$9 + (E70*'Parameters &amp; Inputs'!$B$10) - (F70*'Parameters &amp; Inputs'!$B$11) - IF(G70="Concrete",'Parameters &amp; Inputs'!$B$12,0))</f>
        <v/>
      </c>
      <c r="L70" s="22">
        <f>(D70*K70*'Parameters &amp; Inputs'!$B$5*'Parameters &amp; Inputs'!$B$4)/1000</f>
        <v/>
      </c>
      <c r="M70" s="22">
        <f>J70+L70</f>
        <v/>
      </c>
      <c r="N70" s="14">
        <f>(M70*1000)/D70</f>
        <v/>
      </c>
      <c r="O70" s="11">
        <f>IF(COUNTIFS($J$2:$J$201, "&lt;"&amp;J70, $L$2:$L$201, "&lt;"&amp;L70)=0, "PARETO", "Sub-optimal")</f>
        <v/>
      </c>
    </row>
    <row r="71" ht="20" customHeight="1">
      <c r="A71" s="15" t="n">
        <v>70</v>
      </c>
      <c r="B71" s="17" t="n">
        <v>11</v>
      </c>
      <c r="C71" s="19" t="n">
        <v>1244.6</v>
      </c>
      <c r="D71" s="19">
        <f>B71*C71</f>
        <v/>
      </c>
      <c r="E71" s="18" t="n">
        <v>0.23</v>
      </c>
      <c r="F71" s="18" t="n">
        <v>0.5600000000000001</v>
      </c>
      <c r="G71" s="16" t="inlineStr">
        <is>
          <t>Mass Timber</t>
        </is>
      </c>
      <c r="H71" s="19">
        <f>D71*'Parameters &amp; Inputs'!$B$15</f>
        <v/>
      </c>
      <c r="I71" s="24">
        <f>(4*SQRT(C71))*(B71*'Parameters &amp; Inputs'!$B$14)*E71*'Parameters &amp; Inputs'!$B$16</f>
        <v/>
      </c>
      <c r="J71" s="25">
        <f>((H71*IF(G71="Mass Timber",'Parameters &amp; Inputs'!$B$7,'Parameters &amp; Inputs'!$B$6)) + (I71*'Parameters &amp; Inputs'!$B$8))/1000</f>
        <v/>
      </c>
      <c r="K71" s="26">
        <f>MAX('Parameters &amp; Inputs'!$B$13, 'Parameters &amp; Inputs'!$B$9 + (E71*'Parameters &amp; Inputs'!$B$10) - (F71*'Parameters &amp; Inputs'!$B$11) - IF(G71="Concrete",'Parameters &amp; Inputs'!$B$12,0))</f>
        <v/>
      </c>
      <c r="L71" s="25">
        <f>(D71*K71*'Parameters &amp; Inputs'!$B$5*'Parameters &amp; Inputs'!$B$4)/1000</f>
        <v/>
      </c>
      <c r="M71" s="25">
        <f>J71+L71</f>
        <v/>
      </c>
      <c r="N71" s="19">
        <f>(M71*1000)/D71</f>
        <v/>
      </c>
      <c r="O71" s="16">
        <f>IF(COUNTIFS($J$2:$J$201, "&lt;"&amp;J71, $L$2:$L$201, "&lt;"&amp;L71)=0, "PARETO", "Sub-optimal")</f>
        <v/>
      </c>
    </row>
    <row r="72" ht="20" customHeight="1">
      <c r="A72" s="10" t="n">
        <v>71</v>
      </c>
      <c r="B72" s="12" t="n">
        <v>6</v>
      </c>
      <c r="C72" s="14" t="n">
        <v>1177.6</v>
      </c>
      <c r="D72" s="14">
        <f>B72*C72</f>
        <v/>
      </c>
      <c r="E72" s="13" t="n">
        <v>0.61</v>
      </c>
      <c r="F72" s="13" t="n">
        <v>0.92</v>
      </c>
      <c r="G72" s="11" t="inlineStr">
        <is>
          <t>Mass Timber</t>
        </is>
      </c>
      <c r="H72" s="14">
        <f>D72*'Parameters &amp; Inputs'!$B$15</f>
        <v/>
      </c>
      <c r="I72" s="21">
        <f>(4*SQRT(C72))*(B72*'Parameters &amp; Inputs'!$B$14)*E72*'Parameters &amp; Inputs'!$B$16</f>
        <v/>
      </c>
      <c r="J72" s="22">
        <f>((H72*IF(G72="Mass Timber",'Parameters &amp; Inputs'!$B$7,'Parameters &amp; Inputs'!$B$6)) + (I72*'Parameters &amp; Inputs'!$B$8))/1000</f>
        <v/>
      </c>
      <c r="K72" s="23">
        <f>MAX('Parameters &amp; Inputs'!$B$13, 'Parameters &amp; Inputs'!$B$9 + (E72*'Parameters &amp; Inputs'!$B$10) - (F72*'Parameters &amp; Inputs'!$B$11) - IF(G72="Concrete",'Parameters &amp; Inputs'!$B$12,0))</f>
        <v/>
      </c>
      <c r="L72" s="22">
        <f>(D72*K72*'Parameters &amp; Inputs'!$B$5*'Parameters &amp; Inputs'!$B$4)/1000</f>
        <v/>
      </c>
      <c r="M72" s="22">
        <f>J72+L72</f>
        <v/>
      </c>
      <c r="N72" s="14">
        <f>(M72*1000)/D72</f>
        <v/>
      </c>
      <c r="O72" s="11">
        <f>IF(COUNTIFS($J$2:$J$201, "&lt;"&amp;J72, $L$2:$L$201, "&lt;"&amp;L72)=0, "PARETO", "Sub-optimal")</f>
        <v/>
      </c>
    </row>
    <row r="73" ht="20" customHeight="1">
      <c r="A73" s="15" t="n">
        <v>72</v>
      </c>
      <c r="B73" s="17" t="n">
        <v>7</v>
      </c>
      <c r="C73" s="19" t="n">
        <v>818.6</v>
      </c>
      <c r="D73" s="19">
        <f>B73*C73</f>
        <v/>
      </c>
      <c r="E73" s="18" t="n">
        <v>0.55</v>
      </c>
      <c r="F73" s="18" t="n">
        <v>1.41</v>
      </c>
      <c r="G73" s="16" t="inlineStr">
        <is>
          <t>Mass Timber</t>
        </is>
      </c>
      <c r="H73" s="19">
        <f>D73*'Parameters &amp; Inputs'!$B$15</f>
        <v/>
      </c>
      <c r="I73" s="24">
        <f>(4*SQRT(C73))*(B73*'Parameters &amp; Inputs'!$B$14)*E73*'Parameters &amp; Inputs'!$B$16</f>
        <v/>
      </c>
      <c r="J73" s="25">
        <f>((H73*IF(G73="Mass Timber",'Parameters &amp; Inputs'!$B$7,'Parameters &amp; Inputs'!$B$6)) + (I73*'Parameters &amp; Inputs'!$B$8))/1000</f>
        <v/>
      </c>
      <c r="K73" s="26">
        <f>MAX('Parameters &amp; Inputs'!$B$13, 'Parameters &amp; Inputs'!$B$9 + (E73*'Parameters &amp; Inputs'!$B$10) - (F73*'Parameters &amp; Inputs'!$B$11) - IF(G73="Concrete",'Parameters &amp; Inputs'!$B$12,0))</f>
        <v/>
      </c>
      <c r="L73" s="25">
        <f>(D73*K73*'Parameters &amp; Inputs'!$B$5*'Parameters &amp; Inputs'!$B$4)/1000</f>
        <v/>
      </c>
      <c r="M73" s="25">
        <f>J73+L73</f>
        <v/>
      </c>
      <c r="N73" s="19">
        <f>(M73*1000)/D73</f>
        <v/>
      </c>
      <c r="O73" s="16">
        <f>IF(COUNTIFS($J$2:$J$201, "&lt;"&amp;J73, $L$2:$L$201, "&lt;"&amp;L73)=0, "PARETO", "Sub-optimal")</f>
        <v/>
      </c>
    </row>
    <row r="74" ht="20" customHeight="1">
      <c r="A74" s="10" t="n">
        <v>73</v>
      </c>
      <c r="B74" s="12" t="n">
        <v>7</v>
      </c>
      <c r="C74" s="14" t="n">
        <v>1201.4</v>
      </c>
      <c r="D74" s="14">
        <f>B74*C74</f>
        <v/>
      </c>
      <c r="E74" s="13" t="n">
        <v>0.28</v>
      </c>
      <c r="F74" s="13" t="n">
        <v>1.22</v>
      </c>
      <c r="G74" s="11" t="inlineStr">
        <is>
          <t>Mass Timber</t>
        </is>
      </c>
      <c r="H74" s="14">
        <f>D74*'Parameters &amp; Inputs'!$B$15</f>
        <v/>
      </c>
      <c r="I74" s="21">
        <f>(4*SQRT(C74))*(B74*'Parameters &amp; Inputs'!$B$14)*E74*'Parameters &amp; Inputs'!$B$16</f>
        <v/>
      </c>
      <c r="J74" s="22">
        <f>((H74*IF(G74="Mass Timber",'Parameters &amp; Inputs'!$B$7,'Parameters &amp; Inputs'!$B$6)) + (I74*'Parameters &amp; Inputs'!$B$8))/1000</f>
        <v/>
      </c>
      <c r="K74" s="23">
        <f>MAX('Parameters &amp; Inputs'!$B$13, 'Parameters &amp; Inputs'!$B$9 + (E74*'Parameters &amp; Inputs'!$B$10) - (F74*'Parameters &amp; Inputs'!$B$11) - IF(G74="Concrete",'Parameters &amp; Inputs'!$B$12,0))</f>
        <v/>
      </c>
      <c r="L74" s="22">
        <f>(D74*K74*'Parameters &amp; Inputs'!$B$5*'Parameters &amp; Inputs'!$B$4)/1000</f>
        <v/>
      </c>
      <c r="M74" s="22">
        <f>J74+L74</f>
        <v/>
      </c>
      <c r="N74" s="14">
        <f>(M74*1000)/D74</f>
        <v/>
      </c>
      <c r="O74" s="11">
        <f>IF(COUNTIFS($J$2:$J$201, "&lt;"&amp;J74, $L$2:$L$201, "&lt;"&amp;L74)=0, "PARETO", "Sub-optimal")</f>
        <v/>
      </c>
    </row>
    <row r="75" ht="20" customHeight="1">
      <c r="A75" s="15" t="n">
        <v>74</v>
      </c>
      <c r="B75" s="17" t="n">
        <v>8</v>
      </c>
      <c r="C75" s="19" t="n">
        <v>1374.3</v>
      </c>
      <c r="D75" s="19">
        <f>B75*C75</f>
        <v/>
      </c>
      <c r="E75" s="18" t="n">
        <v>0.59</v>
      </c>
      <c r="F75" s="18" t="n">
        <v>0.31</v>
      </c>
      <c r="G75" s="16" t="inlineStr">
        <is>
          <t>Concrete</t>
        </is>
      </c>
      <c r="H75" s="19">
        <f>D75*'Parameters &amp; Inputs'!$B$15</f>
        <v/>
      </c>
      <c r="I75" s="24">
        <f>(4*SQRT(C75))*(B75*'Parameters &amp; Inputs'!$B$14)*E75*'Parameters &amp; Inputs'!$B$16</f>
        <v/>
      </c>
      <c r="J75" s="25">
        <f>((H75*IF(G75="Mass Timber",'Parameters &amp; Inputs'!$B$7,'Parameters &amp; Inputs'!$B$6)) + (I75*'Parameters &amp; Inputs'!$B$8))/1000</f>
        <v/>
      </c>
      <c r="K75" s="26">
        <f>MAX('Parameters &amp; Inputs'!$B$13, 'Parameters &amp; Inputs'!$B$9 + (E75*'Parameters &amp; Inputs'!$B$10) - (F75*'Parameters &amp; Inputs'!$B$11) - IF(G75="Concrete",'Parameters &amp; Inputs'!$B$12,0))</f>
        <v/>
      </c>
      <c r="L75" s="25">
        <f>(D75*K75*'Parameters &amp; Inputs'!$B$5*'Parameters &amp; Inputs'!$B$4)/1000</f>
        <v/>
      </c>
      <c r="M75" s="25">
        <f>J75+L75</f>
        <v/>
      </c>
      <c r="N75" s="19">
        <f>(M75*1000)/D75</f>
        <v/>
      </c>
      <c r="O75" s="16">
        <f>IF(COUNTIFS($J$2:$J$201, "&lt;"&amp;J75, $L$2:$L$201, "&lt;"&amp;L75)=0, "PARETO", "Sub-optimal")</f>
        <v/>
      </c>
    </row>
    <row r="76" ht="20" customHeight="1">
      <c r="A76" s="10" t="n">
        <v>75</v>
      </c>
      <c r="B76" s="12" t="n">
        <v>7</v>
      </c>
      <c r="C76" s="14" t="n">
        <v>827.3</v>
      </c>
      <c r="D76" s="14">
        <f>B76*C76</f>
        <v/>
      </c>
      <c r="E76" s="13" t="n">
        <v>0.57</v>
      </c>
      <c r="F76" s="13" t="n">
        <v>0.5</v>
      </c>
      <c r="G76" s="11" t="inlineStr">
        <is>
          <t>Mass Timber</t>
        </is>
      </c>
      <c r="H76" s="14">
        <f>D76*'Parameters &amp; Inputs'!$B$15</f>
        <v/>
      </c>
      <c r="I76" s="21">
        <f>(4*SQRT(C76))*(B76*'Parameters &amp; Inputs'!$B$14)*E76*'Parameters &amp; Inputs'!$B$16</f>
        <v/>
      </c>
      <c r="J76" s="22">
        <f>((H76*IF(G76="Mass Timber",'Parameters &amp; Inputs'!$B$7,'Parameters &amp; Inputs'!$B$6)) + (I76*'Parameters &amp; Inputs'!$B$8))/1000</f>
        <v/>
      </c>
      <c r="K76" s="23">
        <f>MAX('Parameters &amp; Inputs'!$B$13, 'Parameters &amp; Inputs'!$B$9 + (E76*'Parameters &amp; Inputs'!$B$10) - (F76*'Parameters &amp; Inputs'!$B$11) - IF(G76="Concrete",'Parameters &amp; Inputs'!$B$12,0))</f>
        <v/>
      </c>
      <c r="L76" s="22">
        <f>(D76*K76*'Parameters &amp; Inputs'!$B$5*'Parameters &amp; Inputs'!$B$4)/1000</f>
        <v/>
      </c>
      <c r="M76" s="22">
        <f>J76+L76</f>
        <v/>
      </c>
      <c r="N76" s="14">
        <f>(M76*1000)/D76</f>
        <v/>
      </c>
      <c r="O76" s="11">
        <f>IF(COUNTIFS($J$2:$J$201, "&lt;"&amp;J76, $L$2:$L$201, "&lt;"&amp;L76)=0, "PARETO", "Sub-optimal")</f>
        <v/>
      </c>
    </row>
    <row r="77" ht="20" customHeight="1">
      <c r="A77" s="15" t="n">
        <v>76</v>
      </c>
      <c r="B77" s="17" t="n">
        <v>7</v>
      </c>
      <c r="C77" s="19" t="n">
        <v>982.5</v>
      </c>
      <c r="D77" s="19">
        <f>B77*C77</f>
        <v/>
      </c>
      <c r="E77" s="18" t="n">
        <v>0.5</v>
      </c>
      <c r="F77" s="18" t="n">
        <v>1.04</v>
      </c>
      <c r="G77" s="16" t="inlineStr">
        <is>
          <t>Concrete</t>
        </is>
      </c>
      <c r="H77" s="19">
        <f>D77*'Parameters &amp; Inputs'!$B$15</f>
        <v/>
      </c>
      <c r="I77" s="24">
        <f>(4*SQRT(C77))*(B77*'Parameters &amp; Inputs'!$B$14)*E77*'Parameters &amp; Inputs'!$B$16</f>
        <v/>
      </c>
      <c r="J77" s="25">
        <f>((H77*IF(G77="Mass Timber",'Parameters &amp; Inputs'!$B$7,'Parameters &amp; Inputs'!$B$6)) + (I77*'Parameters &amp; Inputs'!$B$8))/1000</f>
        <v/>
      </c>
      <c r="K77" s="26">
        <f>MAX('Parameters &amp; Inputs'!$B$13, 'Parameters &amp; Inputs'!$B$9 + (E77*'Parameters &amp; Inputs'!$B$10) - (F77*'Parameters &amp; Inputs'!$B$11) - IF(G77="Concrete",'Parameters &amp; Inputs'!$B$12,0))</f>
        <v/>
      </c>
      <c r="L77" s="25">
        <f>(D77*K77*'Parameters &amp; Inputs'!$B$5*'Parameters &amp; Inputs'!$B$4)/1000</f>
        <v/>
      </c>
      <c r="M77" s="25">
        <f>J77+L77</f>
        <v/>
      </c>
      <c r="N77" s="19">
        <f>(M77*1000)/D77</f>
        <v/>
      </c>
      <c r="O77" s="16">
        <f>IF(COUNTIFS($J$2:$J$201, "&lt;"&amp;J77, $L$2:$L$201, "&lt;"&amp;L77)=0, "PARETO", "Sub-optimal")</f>
        <v/>
      </c>
    </row>
    <row r="78" ht="20" customHeight="1">
      <c r="A78" s="10" t="n">
        <v>77</v>
      </c>
      <c r="B78" s="12" t="n">
        <v>13</v>
      </c>
      <c r="C78" s="14" t="n">
        <v>1314.5</v>
      </c>
      <c r="D78" s="14">
        <f>B78*C78</f>
        <v/>
      </c>
      <c r="E78" s="13" t="n">
        <v>0.68</v>
      </c>
      <c r="F78" s="13" t="n">
        <v>0.42</v>
      </c>
      <c r="G78" s="11" t="inlineStr">
        <is>
          <t>Concrete</t>
        </is>
      </c>
      <c r="H78" s="14">
        <f>D78*'Parameters &amp; Inputs'!$B$15</f>
        <v/>
      </c>
      <c r="I78" s="21">
        <f>(4*SQRT(C78))*(B78*'Parameters &amp; Inputs'!$B$14)*E78*'Parameters &amp; Inputs'!$B$16</f>
        <v/>
      </c>
      <c r="J78" s="22">
        <f>((H78*IF(G78="Mass Timber",'Parameters &amp; Inputs'!$B$7,'Parameters &amp; Inputs'!$B$6)) + (I78*'Parameters &amp; Inputs'!$B$8))/1000</f>
        <v/>
      </c>
      <c r="K78" s="23">
        <f>MAX('Parameters &amp; Inputs'!$B$13, 'Parameters &amp; Inputs'!$B$9 + (E78*'Parameters &amp; Inputs'!$B$10) - (F78*'Parameters &amp; Inputs'!$B$11) - IF(G78="Concrete",'Parameters &amp; Inputs'!$B$12,0))</f>
        <v/>
      </c>
      <c r="L78" s="22">
        <f>(D78*K78*'Parameters &amp; Inputs'!$B$5*'Parameters &amp; Inputs'!$B$4)/1000</f>
        <v/>
      </c>
      <c r="M78" s="22">
        <f>J78+L78</f>
        <v/>
      </c>
      <c r="N78" s="14">
        <f>(M78*1000)/D78</f>
        <v/>
      </c>
      <c r="O78" s="11">
        <f>IF(COUNTIFS($J$2:$J$201, "&lt;"&amp;J78, $L$2:$L$201, "&lt;"&amp;L78)=0, "PARETO", "Sub-optimal")</f>
        <v/>
      </c>
    </row>
    <row r="79" ht="20" customHeight="1">
      <c r="A79" s="15" t="n">
        <v>78</v>
      </c>
      <c r="B79" s="17" t="n">
        <v>14</v>
      </c>
      <c r="C79" s="19" t="n">
        <v>1198</v>
      </c>
      <c r="D79" s="19">
        <f>B79*C79</f>
        <v/>
      </c>
      <c r="E79" s="18" t="n">
        <v>0.55</v>
      </c>
      <c r="F79" s="18" t="n">
        <v>1.1</v>
      </c>
      <c r="G79" s="16" t="inlineStr">
        <is>
          <t>Concrete</t>
        </is>
      </c>
      <c r="H79" s="19">
        <f>D79*'Parameters &amp; Inputs'!$B$15</f>
        <v/>
      </c>
      <c r="I79" s="24">
        <f>(4*SQRT(C79))*(B79*'Parameters &amp; Inputs'!$B$14)*E79*'Parameters &amp; Inputs'!$B$16</f>
        <v/>
      </c>
      <c r="J79" s="25">
        <f>((H79*IF(G79="Mass Timber",'Parameters &amp; Inputs'!$B$7,'Parameters &amp; Inputs'!$B$6)) + (I79*'Parameters &amp; Inputs'!$B$8))/1000</f>
        <v/>
      </c>
      <c r="K79" s="26">
        <f>MAX('Parameters &amp; Inputs'!$B$13, 'Parameters &amp; Inputs'!$B$9 + (E79*'Parameters &amp; Inputs'!$B$10) - (F79*'Parameters &amp; Inputs'!$B$11) - IF(G79="Concrete",'Parameters &amp; Inputs'!$B$12,0))</f>
        <v/>
      </c>
      <c r="L79" s="25">
        <f>(D79*K79*'Parameters &amp; Inputs'!$B$5*'Parameters &amp; Inputs'!$B$4)/1000</f>
        <v/>
      </c>
      <c r="M79" s="25">
        <f>J79+L79</f>
        <v/>
      </c>
      <c r="N79" s="19">
        <f>(M79*1000)/D79</f>
        <v/>
      </c>
      <c r="O79" s="16">
        <f>IF(COUNTIFS($J$2:$J$201, "&lt;"&amp;J79, $L$2:$L$201, "&lt;"&amp;L79)=0, "PARETO", "Sub-optimal")</f>
        <v/>
      </c>
    </row>
    <row r="80" ht="20" customHeight="1">
      <c r="A80" s="10" t="n">
        <v>79</v>
      </c>
      <c r="B80" s="12" t="n">
        <v>6</v>
      </c>
      <c r="C80" s="14" t="n">
        <v>1343.5</v>
      </c>
      <c r="D80" s="14">
        <f>B80*C80</f>
        <v/>
      </c>
      <c r="E80" s="13" t="n">
        <v>0.4</v>
      </c>
      <c r="F80" s="13" t="n">
        <v>1.4</v>
      </c>
      <c r="G80" s="11" t="inlineStr">
        <is>
          <t>Mass Timber</t>
        </is>
      </c>
      <c r="H80" s="14">
        <f>D80*'Parameters &amp; Inputs'!$B$15</f>
        <v/>
      </c>
      <c r="I80" s="21">
        <f>(4*SQRT(C80))*(B80*'Parameters &amp; Inputs'!$B$14)*E80*'Parameters &amp; Inputs'!$B$16</f>
        <v/>
      </c>
      <c r="J80" s="22">
        <f>((H80*IF(G80="Mass Timber",'Parameters &amp; Inputs'!$B$7,'Parameters &amp; Inputs'!$B$6)) + (I80*'Parameters &amp; Inputs'!$B$8))/1000</f>
        <v/>
      </c>
      <c r="K80" s="23">
        <f>MAX('Parameters &amp; Inputs'!$B$13, 'Parameters &amp; Inputs'!$B$9 + (E80*'Parameters &amp; Inputs'!$B$10) - (F80*'Parameters &amp; Inputs'!$B$11) - IF(G80="Concrete",'Parameters &amp; Inputs'!$B$12,0))</f>
        <v/>
      </c>
      <c r="L80" s="22">
        <f>(D80*K80*'Parameters &amp; Inputs'!$B$5*'Parameters &amp; Inputs'!$B$4)/1000</f>
        <v/>
      </c>
      <c r="M80" s="22">
        <f>J80+L80</f>
        <v/>
      </c>
      <c r="N80" s="14">
        <f>(M80*1000)/D80</f>
        <v/>
      </c>
      <c r="O80" s="11">
        <f>IF(COUNTIFS($J$2:$J$201, "&lt;"&amp;J80, $L$2:$L$201, "&lt;"&amp;L80)=0, "PARETO", "Sub-optimal")</f>
        <v/>
      </c>
    </row>
    <row r="81" ht="20" customHeight="1">
      <c r="A81" s="15" t="n">
        <v>80</v>
      </c>
      <c r="B81" s="17" t="n">
        <v>6</v>
      </c>
      <c r="C81" s="19" t="n">
        <v>1275.9</v>
      </c>
      <c r="D81" s="19">
        <f>B81*C81</f>
        <v/>
      </c>
      <c r="E81" s="18" t="n">
        <v>0.64</v>
      </c>
      <c r="F81" s="18" t="n">
        <v>0.36</v>
      </c>
      <c r="G81" s="16" t="inlineStr">
        <is>
          <t>Concrete</t>
        </is>
      </c>
      <c r="H81" s="19">
        <f>D81*'Parameters &amp; Inputs'!$B$15</f>
        <v/>
      </c>
      <c r="I81" s="24">
        <f>(4*SQRT(C81))*(B81*'Parameters &amp; Inputs'!$B$14)*E81*'Parameters &amp; Inputs'!$B$16</f>
        <v/>
      </c>
      <c r="J81" s="25">
        <f>((H81*IF(G81="Mass Timber",'Parameters &amp; Inputs'!$B$7,'Parameters &amp; Inputs'!$B$6)) + (I81*'Parameters &amp; Inputs'!$B$8))/1000</f>
        <v/>
      </c>
      <c r="K81" s="26">
        <f>MAX('Parameters &amp; Inputs'!$B$13, 'Parameters &amp; Inputs'!$B$9 + (E81*'Parameters &amp; Inputs'!$B$10) - (F81*'Parameters &amp; Inputs'!$B$11) - IF(G81="Concrete",'Parameters &amp; Inputs'!$B$12,0))</f>
        <v/>
      </c>
      <c r="L81" s="25">
        <f>(D81*K81*'Parameters &amp; Inputs'!$B$5*'Parameters &amp; Inputs'!$B$4)/1000</f>
        <v/>
      </c>
      <c r="M81" s="25">
        <f>J81+L81</f>
        <v/>
      </c>
      <c r="N81" s="19">
        <f>(M81*1000)/D81</f>
        <v/>
      </c>
      <c r="O81" s="16">
        <f>IF(COUNTIFS($J$2:$J$201, "&lt;"&amp;J81, $L$2:$L$201, "&lt;"&amp;L81)=0, "PARETO", "Sub-optimal")</f>
        <v/>
      </c>
    </row>
    <row r="82" ht="20" customHeight="1">
      <c r="A82" s="10" t="n">
        <v>81</v>
      </c>
      <c r="B82" s="12" t="n">
        <v>6</v>
      </c>
      <c r="C82" s="14" t="n">
        <v>1153.7</v>
      </c>
      <c r="D82" s="14">
        <f>B82*C82</f>
        <v/>
      </c>
      <c r="E82" s="13" t="n">
        <v>0.7</v>
      </c>
      <c r="F82" s="13" t="n">
        <v>0.48</v>
      </c>
      <c r="G82" s="11" t="inlineStr">
        <is>
          <t>Mass Timber</t>
        </is>
      </c>
      <c r="H82" s="14">
        <f>D82*'Parameters &amp; Inputs'!$B$15</f>
        <v/>
      </c>
      <c r="I82" s="21">
        <f>(4*SQRT(C82))*(B82*'Parameters &amp; Inputs'!$B$14)*E82*'Parameters &amp; Inputs'!$B$16</f>
        <v/>
      </c>
      <c r="J82" s="22">
        <f>((H82*IF(G82="Mass Timber",'Parameters &amp; Inputs'!$B$7,'Parameters &amp; Inputs'!$B$6)) + (I82*'Parameters &amp; Inputs'!$B$8))/1000</f>
        <v/>
      </c>
      <c r="K82" s="23">
        <f>MAX('Parameters &amp; Inputs'!$B$13, 'Parameters &amp; Inputs'!$B$9 + (E82*'Parameters &amp; Inputs'!$B$10) - (F82*'Parameters &amp; Inputs'!$B$11) - IF(G82="Concrete",'Parameters &amp; Inputs'!$B$12,0))</f>
        <v/>
      </c>
      <c r="L82" s="22">
        <f>(D82*K82*'Parameters &amp; Inputs'!$B$5*'Parameters &amp; Inputs'!$B$4)/1000</f>
        <v/>
      </c>
      <c r="M82" s="22">
        <f>J82+L82</f>
        <v/>
      </c>
      <c r="N82" s="14">
        <f>(M82*1000)/D82</f>
        <v/>
      </c>
      <c r="O82" s="11">
        <f>IF(COUNTIFS($J$2:$J$201, "&lt;"&amp;J82, $L$2:$L$201, "&lt;"&amp;L82)=0, "PARETO", "Sub-optimal")</f>
        <v/>
      </c>
    </row>
    <row r="83" ht="20" customHeight="1">
      <c r="A83" s="15" t="n">
        <v>82</v>
      </c>
      <c r="B83" s="17" t="n">
        <v>6</v>
      </c>
      <c r="C83" s="19" t="n">
        <v>837.4</v>
      </c>
      <c r="D83" s="19">
        <f>B83*C83</f>
        <v/>
      </c>
      <c r="E83" s="18" t="n">
        <v>0.78</v>
      </c>
      <c r="F83" s="18" t="n">
        <v>1.27</v>
      </c>
      <c r="G83" s="16" t="inlineStr">
        <is>
          <t>Concrete</t>
        </is>
      </c>
      <c r="H83" s="19">
        <f>D83*'Parameters &amp; Inputs'!$B$15</f>
        <v/>
      </c>
      <c r="I83" s="24">
        <f>(4*SQRT(C83))*(B83*'Parameters &amp; Inputs'!$B$14)*E83*'Parameters &amp; Inputs'!$B$16</f>
        <v/>
      </c>
      <c r="J83" s="25">
        <f>((H83*IF(G83="Mass Timber",'Parameters &amp; Inputs'!$B$7,'Parameters &amp; Inputs'!$B$6)) + (I83*'Parameters &amp; Inputs'!$B$8))/1000</f>
        <v/>
      </c>
      <c r="K83" s="26">
        <f>MAX('Parameters &amp; Inputs'!$B$13, 'Parameters &amp; Inputs'!$B$9 + (E83*'Parameters &amp; Inputs'!$B$10) - (F83*'Parameters &amp; Inputs'!$B$11) - IF(G83="Concrete",'Parameters &amp; Inputs'!$B$12,0))</f>
        <v/>
      </c>
      <c r="L83" s="25">
        <f>(D83*K83*'Parameters &amp; Inputs'!$B$5*'Parameters &amp; Inputs'!$B$4)/1000</f>
        <v/>
      </c>
      <c r="M83" s="25">
        <f>J83+L83</f>
        <v/>
      </c>
      <c r="N83" s="19">
        <f>(M83*1000)/D83</f>
        <v/>
      </c>
      <c r="O83" s="16">
        <f>IF(COUNTIFS($J$2:$J$201, "&lt;"&amp;J83, $L$2:$L$201, "&lt;"&amp;L83)=0, "PARETO", "Sub-optimal")</f>
        <v/>
      </c>
    </row>
    <row r="84" ht="20" customHeight="1">
      <c r="A84" s="10" t="n">
        <v>83</v>
      </c>
      <c r="B84" s="12" t="n">
        <v>9</v>
      </c>
      <c r="C84" s="14" t="n">
        <v>1201.4</v>
      </c>
      <c r="D84" s="14">
        <f>B84*C84</f>
        <v/>
      </c>
      <c r="E84" s="13" t="n">
        <v>0.58</v>
      </c>
      <c r="F84" s="13" t="n">
        <v>0.67</v>
      </c>
      <c r="G84" s="11" t="inlineStr">
        <is>
          <t>Concrete</t>
        </is>
      </c>
      <c r="H84" s="14">
        <f>D84*'Parameters &amp; Inputs'!$B$15</f>
        <v/>
      </c>
      <c r="I84" s="21">
        <f>(4*SQRT(C84))*(B84*'Parameters &amp; Inputs'!$B$14)*E84*'Parameters &amp; Inputs'!$B$16</f>
        <v/>
      </c>
      <c r="J84" s="22">
        <f>((H84*IF(G84="Mass Timber",'Parameters &amp; Inputs'!$B$7,'Parameters &amp; Inputs'!$B$6)) + (I84*'Parameters &amp; Inputs'!$B$8))/1000</f>
        <v/>
      </c>
      <c r="K84" s="23">
        <f>MAX('Parameters &amp; Inputs'!$B$13, 'Parameters &amp; Inputs'!$B$9 + (E84*'Parameters &amp; Inputs'!$B$10) - (F84*'Parameters &amp; Inputs'!$B$11) - IF(G84="Concrete",'Parameters &amp; Inputs'!$B$12,0))</f>
        <v/>
      </c>
      <c r="L84" s="22">
        <f>(D84*K84*'Parameters &amp; Inputs'!$B$5*'Parameters &amp; Inputs'!$B$4)/1000</f>
        <v/>
      </c>
      <c r="M84" s="22">
        <f>J84+L84</f>
        <v/>
      </c>
      <c r="N84" s="14">
        <f>(M84*1000)/D84</f>
        <v/>
      </c>
      <c r="O84" s="11">
        <f>IF(COUNTIFS($J$2:$J$201, "&lt;"&amp;J84, $L$2:$L$201, "&lt;"&amp;L84)=0, "PARETO", "Sub-optimal")</f>
        <v/>
      </c>
    </row>
    <row r="85" ht="20" customHeight="1">
      <c r="A85" s="15" t="n">
        <v>84</v>
      </c>
      <c r="B85" s="17" t="n">
        <v>14</v>
      </c>
      <c r="C85" s="19" t="n">
        <v>1187.6</v>
      </c>
      <c r="D85" s="19">
        <f>B85*C85</f>
        <v/>
      </c>
      <c r="E85" s="18" t="n">
        <v>0.33</v>
      </c>
      <c r="F85" s="18" t="n">
        <v>1.42</v>
      </c>
      <c r="G85" s="16" t="inlineStr">
        <is>
          <t>Mass Timber</t>
        </is>
      </c>
      <c r="H85" s="19">
        <f>D85*'Parameters &amp; Inputs'!$B$15</f>
        <v/>
      </c>
      <c r="I85" s="24">
        <f>(4*SQRT(C85))*(B85*'Parameters &amp; Inputs'!$B$14)*E85*'Parameters &amp; Inputs'!$B$16</f>
        <v/>
      </c>
      <c r="J85" s="25">
        <f>((H85*IF(G85="Mass Timber",'Parameters &amp; Inputs'!$B$7,'Parameters &amp; Inputs'!$B$6)) + (I85*'Parameters &amp; Inputs'!$B$8))/1000</f>
        <v/>
      </c>
      <c r="K85" s="26">
        <f>MAX('Parameters &amp; Inputs'!$B$13, 'Parameters &amp; Inputs'!$B$9 + (E85*'Parameters &amp; Inputs'!$B$10) - (F85*'Parameters &amp; Inputs'!$B$11) - IF(G85="Concrete",'Parameters &amp; Inputs'!$B$12,0))</f>
        <v/>
      </c>
      <c r="L85" s="25">
        <f>(D85*K85*'Parameters &amp; Inputs'!$B$5*'Parameters &amp; Inputs'!$B$4)/1000</f>
        <v/>
      </c>
      <c r="M85" s="25">
        <f>J85+L85</f>
        <v/>
      </c>
      <c r="N85" s="19">
        <f>(M85*1000)/D85</f>
        <v/>
      </c>
      <c r="O85" s="16">
        <f>IF(COUNTIFS($J$2:$J$201, "&lt;"&amp;J85, $L$2:$L$201, "&lt;"&amp;L85)=0, "PARETO", "Sub-optimal")</f>
        <v/>
      </c>
    </row>
    <row r="86" ht="20" customHeight="1">
      <c r="A86" s="10" t="n">
        <v>85</v>
      </c>
      <c r="B86" s="12" t="n">
        <v>12</v>
      </c>
      <c r="C86" s="14" t="n">
        <v>863.8</v>
      </c>
      <c r="D86" s="14">
        <f>B86*C86</f>
        <v/>
      </c>
      <c r="E86" s="13" t="n">
        <v>0.5</v>
      </c>
      <c r="F86" s="13" t="n">
        <v>0.09</v>
      </c>
      <c r="G86" s="11" t="inlineStr">
        <is>
          <t>Mass Timber</t>
        </is>
      </c>
      <c r="H86" s="14">
        <f>D86*'Parameters &amp; Inputs'!$B$15</f>
        <v/>
      </c>
      <c r="I86" s="21">
        <f>(4*SQRT(C86))*(B86*'Parameters &amp; Inputs'!$B$14)*E86*'Parameters &amp; Inputs'!$B$16</f>
        <v/>
      </c>
      <c r="J86" s="22">
        <f>((H86*IF(G86="Mass Timber",'Parameters &amp; Inputs'!$B$7,'Parameters &amp; Inputs'!$B$6)) + (I86*'Parameters &amp; Inputs'!$B$8))/1000</f>
        <v/>
      </c>
      <c r="K86" s="23">
        <f>MAX('Parameters &amp; Inputs'!$B$13, 'Parameters &amp; Inputs'!$B$9 + (E86*'Parameters &amp; Inputs'!$B$10) - (F86*'Parameters &amp; Inputs'!$B$11) - IF(G86="Concrete",'Parameters &amp; Inputs'!$B$12,0))</f>
        <v/>
      </c>
      <c r="L86" s="22">
        <f>(D86*K86*'Parameters &amp; Inputs'!$B$5*'Parameters &amp; Inputs'!$B$4)/1000</f>
        <v/>
      </c>
      <c r="M86" s="22">
        <f>J86+L86</f>
        <v/>
      </c>
      <c r="N86" s="14">
        <f>(M86*1000)/D86</f>
        <v/>
      </c>
      <c r="O86" s="11">
        <f>IF(COUNTIFS($J$2:$J$201, "&lt;"&amp;J86, $L$2:$L$201, "&lt;"&amp;L86)=0, "PARETO", "Sub-optimal")</f>
        <v/>
      </c>
    </row>
    <row r="87" ht="20" customHeight="1">
      <c r="A87" s="15" t="n">
        <v>86</v>
      </c>
      <c r="B87" s="17" t="n">
        <v>10</v>
      </c>
      <c r="C87" s="19" t="n">
        <v>1315.9</v>
      </c>
      <c r="D87" s="19">
        <f>B87*C87</f>
        <v/>
      </c>
      <c r="E87" s="18" t="n">
        <v>0.53</v>
      </c>
      <c r="F87" s="18" t="n">
        <v>1.06</v>
      </c>
      <c r="G87" s="16" t="inlineStr">
        <is>
          <t>Mass Timber</t>
        </is>
      </c>
      <c r="H87" s="19">
        <f>D87*'Parameters &amp; Inputs'!$B$15</f>
        <v/>
      </c>
      <c r="I87" s="24">
        <f>(4*SQRT(C87))*(B87*'Parameters &amp; Inputs'!$B$14)*E87*'Parameters &amp; Inputs'!$B$16</f>
        <v/>
      </c>
      <c r="J87" s="25">
        <f>((H87*IF(G87="Mass Timber",'Parameters &amp; Inputs'!$B$7,'Parameters &amp; Inputs'!$B$6)) + (I87*'Parameters &amp; Inputs'!$B$8))/1000</f>
        <v/>
      </c>
      <c r="K87" s="26">
        <f>MAX('Parameters &amp; Inputs'!$B$13, 'Parameters &amp; Inputs'!$B$9 + (E87*'Parameters &amp; Inputs'!$B$10) - (F87*'Parameters &amp; Inputs'!$B$11) - IF(G87="Concrete",'Parameters &amp; Inputs'!$B$12,0))</f>
        <v/>
      </c>
      <c r="L87" s="25">
        <f>(D87*K87*'Parameters &amp; Inputs'!$B$5*'Parameters &amp; Inputs'!$B$4)/1000</f>
        <v/>
      </c>
      <c r="M87" s="25">
        <f>J87+L87</f>
        <v/>
      </c>
      <c r="N87" s="19">
        <f>(M87*1000)/D87</f>
        <v/>
      </c>
      <c r="O87" s="16">
        <f>IF(COUNTIFS($J$2:$J$201, "&lt;"&amp;J87, $L$2:$L$201, "&lt;"&amp;L87)=0, "PARETO", "Sub-optimal")</f>
        <v/>
      </c>
    </row>
    <row r="88" ht="20" customHeight="1">
      <c r="A88" s="10" t="n">
        <v>87</v>
      </c>
      <c r="B88" s="12" t="n">
        <v>14</v>
      </c>
      <c r="C88" s="14" t="n">
        <v>1333.1</v>
      </c>
      <c r="D88" s="14">
        <f>B88*C88</f>
        <v/>
      </c>
      <c r="E88" s="13" t="n">
        <v>0.57</v>
      </c>
      <c r="F88" s="13" t="n">
        <v>0.15</v>
      </c>
      <c r="G88" s="11" t="inlineStr">
        <is>
          <t>Concrete</t>
        </is>
      </c>
      <c r="H88" s="14">
        <f>D88*'Parameters &amp; Inputs'!$B$15</f>
        <v/>
      </c>
      <c r="I88" s="21">
        <f>(4*SQRT(C88))*(B88*'Parameters &amp; Inputs'!$B$14)*E88*'Parameters &amp; Inputs'!$B$16</f>
        <v/>
      </c>
      <c r="J88" s="22">
        <f>((H88*IF(G88="Mass Timber",'Parameters &amp; Inputs'!$B$7,'Parameters &amp; Inputs'!$B$6)) + (I88*'Parameters &amp; Inputs'!$B$8))/1000</f>
        <v/>
      </c>
      <c r="K88" s="23">
        <f>MAX('Parameters &amp; Inputs'!$B$13, 'Parameters &amp; Inputs'!$B$9 + (E88*'Parameters &amp; Inputs'!$B$10) - (F88*'Parameters &amp; Inputs'!$B$11) - IF(G88="Concrete",'Parameters &amp; Inputs'!$B$12,0))</f>
        <v/>
      </c>
      <c r="L88" s="22">
        <f>(D88*K88*'Parameters &amp; Inputs'!$B$5*'Parameters &amp; Inputs'!$B$4)/1000</f>
        <v/>
      </c>
      <c r="M88" s="22">
        <f>J88+L88</f>
        <v/>
      </c>
      <c r="N88" s="14">
        <f>(M88*1000)/D88</f>
        <v/>
      </c>
      <c r="O88" s="11">
        <f>IF(COUNTIFS($J$2:$J$201, "&lt;"&amp;J88, $L$2:$L$201, "&lt;"&amp;L88)=0, "PARETO", "Sub-optimal")</f>
        <v/>
      </c>
    </row>
    <row r="89" ht="20" customHeight="1">
      <c r="A89" s="15" t="n">
        <v>88</v>
      </c>
      <c r="B89" s="17" t="n">
        <v>13</v>
      </c>
      <c r="C89" s="19" t="n">
        <v>850.9</v>
      </c>
      <c r="D89" s="19">
        <f>B89*C89</f>
        <v/>
      </c>
      <c r="E89" s="18" t="n">
        <v>0.6899999999999999</v>
      </c>
      <c r="F89" s="18" t="n">
        <v>1.06</v>
      </c>
      <c r="G89" s="16" t="inlineStr">
        <is>
          <t>Concrete</t>
        </is>
      </c>
      <c r="H89" s="19">
        <f>D89*'Parameters &amp; Inputs'!$B$15</f>
        <v/>
      </c>
      <c r="I89" s="24">
        <f>(4*SQRT(C89))*(B89*'Parameters &amp; Inputs'!$B$14)*E89*'Parameters &amp; Inputs'!$B$16</f>
        <v/>
      </c>
      <c r="J89" s="25">
        <f>((H89*IF(G89="Mass Timber",'Parameters &amp; Inputs'!$B$7,'Parameters &amp; Inputs'!$B$6)) + (I89*'Parameters &amp; Inputs'!$B$8))/1000</f>
        <v/>
      </c>
      <c r="K89" s="26">
        <f>MAX('Parameters &amp; Inputs'!$B$13, 'Parameters &amp; Inputs'!$B$9 + (E89*'Parameters &amp; Inputs'!$B$10) - (F89*'Parameters &amp; Inputs'!$B$11) - IF(G89="Concrete",'Parameters &amp; Inputs'!$B$12,0))</f>
        <v/>
      </c>
      <c r="L89" s="25">
        <f>(D89*K89*'Parameters &amp; Inputs'!$B$5*'Parameters &amp; Inputs'!$B$4)/1000</f>
        <v/>
      </c>
      <c r="M89" s="25">
        <f>J89+L89</f>
        <v/>
      </c>
      <c r="N89" s="19">
        <f>(M89*1000)/D89</f>
        <v/>
      </c>
      <c r="O89" s="16">
        <f>IF(COUNTIFS($J$2:$J$201, "&lt;"&amp;J89, $L$2:$L$201, "&lt;"&amp;L89)=0, "PARETO", "Sub-optimal")</f>
        <v/>
      </c>
    </row>
    <row r="90" ht="20" customHeight="1">
      <c r="A90" s="10" t="n">
        <v>89</v>
      </c>
      <c r="B90" s="12" t="n">
        <v>10</v>
      </c>
      <c r="C90" s="14" t="n">
        <v>963.3</v>
      </c>
      <c r="D90" s="14">
        <f>B90*C90</f>
        <v/>
      </c>
      <c r="E90" s="13" t="n">
        <v>0.55</v>
      </c>
      <c r="F90" s="13" t="n">
        <v>1.29</v>
      </c>
      <c r="G90" s="11" t="inlineStr">
        <is>
          <t>Mass Timber</t>
        </is>
      </c>
      <c r="H90" s="14">
        <f>D90*'Parameters &amp; Inputs'!$B$15</f>
        <v/>
      </c>
      <c r="I90" s="21">
        <f>(4*SQRT(C90))*(B90*'Parameters &amp; Inputs'!$B$14)*E90*'Parameters &amp; Inputs'!$B$16</f>
        <v/>
      </c>
      <c r="J90" s="22">
        <f>((H90*IF(G90="Mass Timber",'Parameters &amp; Inputs'!$B$7,'Parameters &amp; Inputs'!$B$6)) + (I90*'Parameters &amp; Inputs'!$B$8))/1000</f>
        <v/>
      </c>
      <c r="K90" s="23">
        <f>MAX('Parameters &amp; Inputs'!$B$13, 'Parameters &amp; Inputs'!$B$9 + (E90*'Parameters &amp; Inputs'!$B$10) - (F90*'Parameters &amp; Inputs'!$B$11) - IF(G90="Concrete",'Parameters &amp; Inputs'!$B$12,0))</f>
        <v/>
      </c>
      <c r="L90" s="22">
        <f>(D90*K90*'Parameters &amp; Inputs'!$B$5*'Parameters &amp; Inputs'!$B$4)/1000</f>
        <v/>
      </c>
      <c r="M90" s="22">
        <f>J90+L90</f>
        <v/>
      </c>
      <c r="N90" s="14">
        <f>(M90*1000)/D90</f>
        <v/>
      </c>
      <c r="O90" s="11">
        <f>IF(COUNTIFS($J$2:$J$201, "&lt;"&amp;J90, $L$2:$L$201, "&lt;"&amp;L90)=0, "PARETO", "Sub-optimal")</f>
        <v/>
      </c>
    </row>
    <row r="91" ht="20" customHeight="1">
      <c r="A91" s="15" t="n">
        <v>90</v>
      </c>
      <c r="B91" s="17" t="n">
        <v>6</v>
      </c>
      <c r="C91" s="19" t="n">
        <v>1463.1</v>
      </c>
      <c r="D91" s="19">
        <f>B91*C91</f>
        <v/>
      </c>
      <c r="E91" s="18" t="n">
        <v>0.79</v>
      </c>
      <c r="F91" s="18" t="n">
        <v>1.13</v>
      </c>
      <c r="G91" s="16" t="inlineStr">
        <is>
          <t>Concrete</t>
        </is>
      </c>
      <c r="H91" s="19">
        <f>D91*'Parameters &amp; Inputs'!$B$15</f>
        <v/>
      </c>
      <c r="I91" s="24">
        <f>(4*SQRT(C91))*(B91*'Parameters &amp; Inputs'!$B$14)*E91*'Parameters &amp; Inputs'!$B$16</f>
        <v/>
      </c>
      <c r="J91" s="25">
        <f>((H91*IF(G91="Mass Timber",'Parameters &amp; Inputs'!$B$7,'Parameters &amp; Inputs'!$B$6)) + (I91*'Parameters &amp; Inputs'!$B$8))/1000</f>
        <v/>
      </c>
      <c r="K91" s="26">
        <f>MAX('Parameters &amp; Inputs'!$B$13, 'Parameters &amp; Inputs'!$B$9 + (E91*'Parameters &amp; Inputs'!$B$10) - (F91*'Parameters &amp; Inputs'!$B$11) - IF(G91="Concrete",'Parameters &amp; Inputs'!$B$12,0))</f>
        <v/>
      </c>
      <c r="L91" s="25">
        <f>(D91*K91*'Parameters &amp; Inputs'!$B$5*'Parameters &amp; Inputs'!$B$4)/1000</f>
        <v/>
      </c>
      <c r="M91" s="25">
        <f>J91+L91</f>
        <v/>
      </c>
      <c r="N91" s="19">
        <f>(M91*1000)/D91</f>
        <v/>
      </c>
      <c r="O91" s="16">
        <f>IF(COUNTIFS($J$2:$J$201, "&lt;"&amp;J91, $L$2:$L$201, "&lt;"&amp;L91)=0, "PARETO", "Sub-optimal")</f>
        <v/>
      </c>
    </row>
    <row r="92" ht="20" customHeight="1">
      <c r="A92" s="10" t="n">
        <v>91</v>
      </c>
      <c r="B92" s="12" t="n">
        <v>8</v>
      </c>
      <c r="C92" s="14" t="n">
        <v>1344</v>
      </c>
      <c r="D92" s="14">
        <f>B92*C92</f>
        <v/>
      </c>
      <c r="E92" s="13" t="n">
        <v>0.54</v>
      </c>
      <c r="F92" s="13" t="n">
        <v>0.64</v>
      </c>
      <c r="G92" s="11" t="inlineStr">
        <is>
          <t>Mass Timber</t>
        </is>
      </c>
      <c r="H92" s="14">
        <f>D92*'Parameters &amp; Inputs'!$B$15</f>
        <v/>
      </c>
      <c r="I92" s="21">
        <f>(4*SQRT(C92))*(B92*'Parameters &amp; Inputs'!$B$14)*E92*'Parameters &amp; Inputs'!$B$16</f>
        <v/>
      </c>
      <c r="J92" s="22">
        <f>((H92*IF(G92="Mass Timber",'Parameters &amp; Inputs'!$B$7,'Parameters &amp; Inputs'!$B$6)) + (I92*'Parameters &amp; Inputs'!$B$8))/1000</f>
        <v/>
      </c>
      <c r="K92" s="23">
        <f>MAX('Parameters &amp; Inputs'!$B$13, 'Parameters &amp; Inputs'!$B$9 + (E92*'Parameters &amp; Inputs'!$B$10) - (F92*'Parameters &amp; Inputs'!$B$11) - IF(G92="Concrete",'Parameters &amp; Inputs'!$B$12,0))</f>
        <v/>
      </c>
      <c r="L92" s="22">
        <f>(D92*K92*'Parameters &amp; Inputs'!$B$5*'Parameters &amp; Inputs'!$B$4)/1000</f>
        <v/>
      </c>
      <c r="M92" s="22">
        <f>J92+L92</f>
        <v/>
      </c>
      <c r="N92" s="14">
        <f>(M92*1000)/D92</f>
        <v/>
      </c>
      <c r="O92" s="11">
        <f>IF(COUNTIFS($J$2:$J$201, "&lt;"&amp;J92, $L$2:$L$201, "&lt;"&amp;L92)=0, "PARETO", "Sub-optimal")</f>
        <v/>
      </c>
    </row>
    <row r="93" ht="20" customHeight="1">
      <c r="A93" s="15" t="n">
        <v>92</v>
      </c>
      <c r="B93" s="17" t="n">
        <v>12</v>
      </c>
      <c r="C93" s="19" t="n">
        <v>1104.1</v>
      </c>
      <c r="D93" s="19">
        <f>B93*C93</f>
        <v/>
      </c>
      <c r="E93" s="18" t="n">
        <v>0.35</v>
      </c>
      <c r="F93" s="18" t="n">
        <v>0.61</v>
      </c>
      <c r="G93" s="16" t="inlineStr">
        <is>
          <t>Mass Timber</t>
        </is>
      </c>
      <c r="H93" s="19">
        <f>D93*'Parameters &amp; Inputs'!$B$15</f>
        <v/>
      </c>
      <c r="I93" s="24">
        <f>(4*SQRT(C93))*(B93*'Parameters &amp; Inputs'!$B$14)*E93*'Parameters &amp; Inputs'!$B$16</f>
        <v/>
      </c>
      <c r="J93" s="25">
        <f>((H93*IF(G93="Mass Timber",'Parameters &amp; Inputs'!$B$7,'Parameters &amp; Inputs'!$B$6)) + (I93*'Parameters &amp; Inputs'!$B$8))/1000</f>
        <v/>
      </c>
      <c r="K93" s="26">
        <f>MAX('Parameters &amp; Inputs'!$B$13, 'Parameters &amp; Inputs'!$B$9 + (E93*'Parameters &amp; Inputs'!$B$10) - (F93*'Parameters &amp; Inputs'!$B$11) - IF(G93="Concrete",'Parameters &amp; Inputs'!$B$12,0))</f>
        <v/>
      </c>
      <c r="L93" s="25">
        <f>(D93*K93*'Parameters &amp; Inputs'!$B$5*'Parameters &amp; Inputs'!$B$4)/1000</f>
        <v/>
      </c>
      <c r="M93" s="25">
        <f>J93+L93</f>
        <v/>
      </c>
      <c r="N93" s="19">
        <f>(M93*1000)/D93</f>
        <v/>
      </c>
      <c r="O93" s="16">
        <f>IF(COUNTIFS($J$2:$J$201, "&lt;"&amp;J93, $L$2:$L$201, "&lt;"&amp;L93)=0, "PARETO", "Sub-optimal")</f>
        <v/>
      </c>
    </row>
    <row r="94" ht="20" customHeight="1">
      <c r="A94" s="10" t="n">
        <v>93</v>
      </c>
      <c r="B94" s="12" t="n">
        <v>9</v>
      </c>
      <c r="C94" s="14" t="n">
        <v>883.2</v>
      </c>
      <c r="D94" s="14">
        <f>B94*C94</f>
        <v/>
      </c>
      <c r="E94" s="13" t="n">
        <v>0.27</v>
      </c>
      <c r="F94" s="13" t="n">
        <v>0.97</v>
      </c>
      <c r="G94" s="11" t="inlineStr">
        <is>
          <t>Mass Timber</t>
        </is>
      </c>
      <c r="H94" s="14">
        <f>D94*'Parameters &amp; Inputs'!$B$15</f>
        <v/>
      </c>
      <c r="I94" s="21">
        <f>(4*SQRT(C94))*(B94*'Parameters &amp; Inputs'!$B$14)*E94*'Parameters &amp; Inputs'!$B$16</f>
        <v/>
      </c>
      <c r="J94" s="22">
        <f>((H94*IF(G94="Mass Timber",'Parameters &amp; Inputs'!$B$7,'Parameters &amp; Inputs'!$B$6)) + (I94*'Parameters &amp; Inputs'!$B$8))/1000</f>
        <v/>
      </c>
      <c r="K94" s="23">
        <f>MAX('Parameters &amp; Inputs'!$B$13, 'Parameters &amp; Inputs'!$B$9 + (E94*'Parameters &amp; Inputs'!$B$10) - (F94*'Parameters &amp; Inputs'!$B$11) - IF(G94="Concrete",'Parameters &amp; Inputs'!$B$12,0))</f>
        <v/>
      </c>
      <c r="L94" s="22">
        <f>(D94*K94*'Parameters &amp; Inputs'!$B$5*'Parameters &amp; Inputs'!$B$4)/1000</f>
        <v/>
      </c>
      <c r="M94" s="22">
        <f>J94+L94</f>
        <v/>
      </c>
      <c r="N94" s="14">
        <f>(M94*1000)/D94</f>
        <v/>
      </c>
      <c r="O94" s="11">
        <f>IF(COUNTIFS($J$2:$J$201, "&lt;"&amp;J94, $L$2:$L$201, "&lt;"&amp;L94)=0, "PARETO", "Sub-optimal")</f>
        <v/>
      </c>
    </row>
    <row r="95" ht="20" customHeight="1">
      <c r="A95" s="15" t="n">
        <v>94</v>
      </c>
      <c r="B95" s="17" t="n">
        <v>14</v>
      </c>
      <c r="C95" s="19" t="n">
        <v>1062.4</v>
      </c>
      <c r="D95" s="19">
        <f>B95*C95</f>
        <v/>
      </c>
      <c r="E95" s="18" t="n">
        <v>0.37</v>
      </c>
      <c r="F95" s="18" t="n">
        <v>1.3</v>
      </c>
      <c r="G95" s="16" t="inlineStr">
        <is>
          <t>Concrete</t>
        </is>
      </c>
      <c r="H95" s="19">
        <f>D95*'Parameters &amp; Inputs'!$B$15</f>
        <v/>
      </c>
      <c r="I95" s="24">
        <f>(4*SQRT(C95))*(B95*'Parameters &amp; Inputs'!$B$14)*E95*'Parameters &amp; Inputs'!$B$16</f>
        <v/>
      </c>
      <c r="J95" s="25">
        <f>((H95*IF(G95="Mass Timber",'Parameters &amp; Inputs'!$B$7,'Parameters &amp; Inputs'!$B$6)) + (I95*'Parameters &amp; Inputs'!$B$8))/1000</f>
        <v/>
      </c>
      <c r="K95" s="26">
        <f>MAX('Parameters &amp; Inputs'!$B$13, 'Parameters &amp; Inputs'!$B$9 + (E95*'Parameters &amp; Inputs'!$B$10) - (F95*'Parameters &amp; Inputs'!$B$11) - IF(G95="Concrete",'Parameters &amp; Inputs'!$B$12,0))</f>
        <v/>
      </c>
      <c r="L95" s="25">
        <f>(D95*K95*'Parameters &amp; Inputs'!$B$5*'Parameters &amp; Inputs'!$B$4)/1000</f>
        <v/>
      </c>
      <c r="M95" s="25">
        <f>J95+L95</f>
        <v/>
      </c>
      <c r="N95" s="19">
        <f>(M95*1000)/D95</f>
        <v/>
      </c>
      <c r="O95" s="16">
        <f>IF(COUNTIFS($J$2:$J$201, "&lt;"&amp;J95, $L$2:$L$201, "&lt;"&amp;L95)=0, "PARETO", "Sub-optimal")</f>
        <v/>
      </c>
    </row>
    <row r="96" ht="20" customHeight="1">
      <c r="A96" s="10" t="n">
        <v>95</v>
      </c>
      <c r="B96" s="12" t="n">
        <v>11</v>
      </c>
      <c r="C96" s="14" t="n">
        <v>1361.5</v>
      </c>
      <c r="D96" s="14">
        <f>B96*C96</f>
        <v/>
      </c>
      <c r="E96" s="13" t="n">
        <v>0.79</v>
      </c>
      <c r="F96" s="13" t="n">
        <v>0.83</v>
      </c>
      <c r="G96" s="11" t="inlineStr">
        <is>
          <t>Concrete</t>
        </is>
      </c>
      <c r="H96" s="14">
        <f>D96*'Parameters &amp; Inputs'!$B$15</f>
        <v/>
      </c>
      <c r="I96" s="21">
        <f>(4*SQRT(C96))*(B96*'Parameters &amp; Inputs'!$B$14)*E96*'Parameters &amp; Inputs'!$B$16</f>
        <v/>
      </c>
      <c r="J96" s="22">
        <f>((H96*IF(G96="Mass Timber",'Parameters &amp; Inputs'!$B$7,'Parameters &amp; Inputs'!$B$6)) + (I96*'Parameters &amp; Inputs'!$B$8))/1000</f>
        <v/>
      </c>
      <c r="K96" s="23">
        <f>MAX('Parameters &amp; Inputs'!$B$13, 'Parameters &amp; Inputs'!$B$9 + (E96*'Parameters &amp; Inputs'!$B$10) - (F96*'Parameters &amp; Inputs'!$B$11) - IF(G96="Concrete",'Parameters &amp; Inputs'!$B$12,0))</f>
        <v/>
      </c>
      <c r="L96" s="22">
        <f>(D96*K96*'Parameters &amp; Inputs'!$B$5*'Parameters &amp; Inputs'!$B$4)/1000</f>
        <v/>
      </c>
      <c r="M96" s="22">
        <f>J96+L96</f>
        <v/>
      </c>
      <c r="N96" s="14">
        <f>(M96*1000)/D96</f>
        <v/>
      </c>
      <c r="O96" s="11">
        <f>IF(COUNTIFS($J$2:$J$201, "&lt;"&amp;J96, $L$2:$L$201, "&lt;"&amp;L96)=0, "PARETO", "Sub-optimal")</f>
        <v/>
      </c>
    </row>
    <row r="97" ht="20" customHeight="1">
      <c r="A97" s="15" t="n">
        <v>96</v>
      </c>
      <c r="B97" s="17" t="n">
        <v>11</v>
      </c>
      <c r="C97" s="19" t="n">
        <v>1447.3</v>
      </c>
      <c r="D97" s="19">
        <f>B97*C97</f>
        <v/>
      </c>
      <c r="E97" s="18" t="n">
        <v>0.75</v>
      </c>
      <c r="F97" s="18" t="n">
        <v>0.38</v>
      </c>
      <c r="G97" s="16" t="inlineStr">
        <is>
          <t>Mass Timber</t>
        </is>
      </c>
      <c r="H97" s="19">
        <f>D97*'Parameters &amp; Inputs'!$B$15</f>
        <v/>
      </c>
      <c r="I97" s="24">
        <f>(4*SQRT(C97))*(B97*'Parameters &amp; Inputs'!$B$14)*E97*'Parameters &amp; Inputs'!$B$16</f>
        <v/>
      </c>
      <c r="J97" s="25">
        <f>((H97*IF(G97="Mass Timber",'Parameters &amp; Inputs'!$B$7,'Parameters &amp; Inputs'!$B$6)) + (I97*'Parameters &amp; Inputs'!$B$8))/1000</f>
        <v/>
      </c>
      <c r="K97" s="26">
        <f>MAX('Parameters &amp; Inputs'!$B$13, 'Parameters &amp; Inputs'!$B$9 + (E97*'Parameters &amp; Inputs'!$B$10) - (F97*'Parameters &amp; Inputs'!$B$11) - IF(G97="Concrete",'Parameters &amp; Inputs'!$B$12,0))</f>
        <v/>
      </c>
      <c r="L97" s="25">
        <f>(D97*K97*'Parameters &amp; Inputs'!$B$5*'Parameters &amp; Inputs'!$B$4)/1000</f>
        <v/>
      </c>
      <c r="M97" s="25">
        <f>J97+L97</f>
        <v/>
      </c>
      <c r="N97" s="19">
        <f>(M97*1000)/D97</f>
        <v/>
      </c>
      <c r="O97" s="16">
        <f>IF(COUNTIFS($J$2:$J$201, "&lt;"&amp;J97, $L$2:$L$201, "&lt;"&amp;L97)=0, "PARETO", "Sub-optimal")</f>
        <v/>
      </c>
    </row>
    <row r="98" ht="20" customHeight="1">
      <c r="A98" s="10" t="n">
        <v>97</v>
      </c>
      <c r="B98" s="12" t="n">
        <v>14</v>
      </c>
      <c r="C98" s="14" t="n">
        <v>1166.2</v>
      </c>
      <c r="D98" s="14">
        <f>B98*C98</f>
        <v/>
      </c>
      <c r="E98" s="13" t="n">
        <v>0.58</v>
      </c>
      <c r="F98" s="13" t="n">
        <v>1.04</v>
      </c>
      <c r="G98" s="11" t="inlineStr">
        <is>
          <t>Concrete</t>
        </is>
      </c>
      <c r="H98" s="14">
        <f>D98*'Parameters &amp; Inputs'!$B$15</f>
        <v/>
      </c>
      <c r="I98" s="21">
        <f>(4*SQRT(C98))*(B98*'Parameters &amp; Inputs'!$B$14)*E98*'Parameters &amp; Inputs'!$B$16</f>
        <v/>
      </c>
      <c r="J98" s="22">
        <f>((H98*IF(G98="Mass Timber",'Parameters &amp; Inputs'!$B$7,'Parameters &amp; Inputs'!$B$6)) + (I98*'Parameters &amp; Inputs'!$B$8))/1000</f>
        <v/>
      </c>
      <c r="K98" s="23">
        <f>MAX('Parameters &amp; Inputs'!$B$13, 'Parameters &amp; Inputs'!$B$9 + (E98*'Parameters &amp; Inputs'!$B$10) - (F98*'Parameters &amp; Inputs'!$B$11) - IF(G98="Concrete",'Parameters &amp; Inputs'!$B$12,0))</f>
        <v/>
      </c>
      <c r="L98" s="22">
        <f>(D98*K98*'Parameters &amp; Inputs'!$B$5*'Parameters &amp; Inputs'!$B$4)/1000</f>
        <v/>
      </c>
      <c r="M98" s="22">
        <f>J98+L98</f>
        <v/>
      </c>
      <c r="N98" s="14">
        <f>(M98*1000)/D98</f>
        <v/>
      </c>
      <c r="O98" s="11">
        <f>IF(COUNTIFS($J$2:$J$201, "&lt;"&amp;J98, $L$2:$L$201, "&lt;"&amp;L98)=0, "PARETO", "Sub-optimal")</f>
        <v/>
      </c>
    </row>
    <row r="99" ht="20" customHeight="1">
      <c r="A99" s="15" t="n">
        <v>98</v>
      </c>
      <c r="B99" s="17" t="n">
        <v>10</v>
      </c>
      <c r="C99" s="19" t="n">
        <v>1287.8</v>
      </c>
      <c r="D99" s="19">
        <f>B99*C99</f>
        <v/>
      </c>
      <c r="E99" s="18" t="n">
        <v>0.43</v>
      </c>
      <c r="F99" s="18" t="n">
        <v>1.11</v>
      </c>
      <c r="G99" s="16" t="inlineStr">
        <is>
          <t>Mass Timber</t>
        </is>
      </c>
      <c r="H99" s="19">
        <f>D99*'Parameters &amp; Inputs'!$B$15</f>
        <v/>
      </c>
      <c r="I99" s="24">
        <f>(4*SQRT(C99))*(B99*'Parameters &amp; Inputs'!$B$14)*E99*'Parameters &amp; Inputs'!$B$16</f>
        <v/>
      </c>
      <c r="J99" s="25">
        <f>((H99*IF(G99="Mass Timber",'Parameters &amp; Inputs'!$B$7,'Parameters &amp; Inputs'!$B$6)) + (I99*'Parameters &amp; Inputs'!$B$8))/1000</f>
        <v/>
      </c>
      <c r="K99" s="26">
        <f>MAX('Parameters &amp; Inputs'!$B$13, 'Parameters &amp; Inputs'!$B$9 + (E99*'Parameters &amp; Inputs'!$B$10) - (F99*'Parameters &amp; Inputs'!$B$11) - IF(G99="Concrete",'Parameters &amp; Inputs'!$B$12,0))</f>
        <v/>
      </c>
      <c r="L99" s="25">
        <f>(D99*K99*'Parameters &amp; Inputs'!$B$5*'Parameters &amp; Inputs'!$B$4)/1000</f>
        <v/>
      </c>
      <c r="M99" s="25">
        <f>J99+L99</f>
        <v/>
      </c>
      <c r="N99" s="19">
        <f>(M99*1000)/D99</f>
        <v/>
      </c>
      <c r="O99" s="16">
        <f>IF(COUNTIFS($J$2:$J$201, "&lt;"&amp;J99, $L$2:$L$201, "&lt;"&amp;L99)=0, "PARETO", "Sub-optimal")</f>
        <v/>
      </c>
    </row>
    <row r="100" ht="20" customHeight="1">
      <c r="A100" s="10" t="n">
        <v>99</v>
      </c>
      <c r="B100" s="12" t="n">
        <v>13</v>
      </c>
      <c r="C100" s="14" t="n">
        <v>1076.2</v>
      </c>
      <c r="D100" s="14">
        <f>B100*C100</f>
        <v/>
      </c>
      <c r="E100" s="13" t="n">
        <v>0.26</v>
      </c>
      <c r="F100" s="13" t="n">
        <v>0.5</v>
      </c>
      <c r="G100" s="11" t="inlineStr">
        <is>
          <t>Concrete</t>
        </is>
      </c>
      <c r="H100" s="14">
        <f>D100*'Parameters &amp; Inputs'!$B$15</f>
        <v/>
      </c>
      <c r="I100" s="21">
        <f>(4*SQRT(C100))*(B100*'Parameters &amp; Inputs'!$B$14)*E100*'Parameters &amp; Inputs'!$B$16</f>
        <v/>
      </c>
      <c r="J100" s="22">
        <f>((H100*IF(G100="Mass Timber",'Parameters &amp; Inputs'!$B$7,'Parameters &amp; Inputs'!$B$6)) + (I100*'Parameters &amp; Inputs'!$B$8))/1000</f>
        <v/>
      </c>
      <c r="K100" s="23">
        <f>MAX('Parameters &amp; Inputs'!$B$13, 'Parameters &amp; Inputs'!$B$9 + (E100*'Parameters &amp; Inputs'!$B$10) - (F100*'Parameters &amp; Inputs'!$B$11) - IF(G100="Concrete",'Parameters &amp; Inputs'!$B$12,0))</f>
        <v/>
      </c>
      <c r="L100" s="22">
        <f>(D100*K100*'Parameters &amp; Inputs'!$B$5*'Parameters &amp; Inputs'!$B$4)/1000</f>
        <v/>
      </c>
      <c r="M100" s="22">
        <f>J100+L100</f>
        <v/>
      </c>
      <c r="N100" s="14">
        <f>(M100*1000)/D100</f>
        <v/>
      </c>
      <c r="O100" s="11">
        <f>IF(COUNTIFS($J$2:$J$201, "&lt;"&amp;J100, $L$2:$L$201, "&lt;"&amp;L100)=0, "PARETO", "Sub-optimal")</f>
        <v/>
      </c>
    </row>
    <row r="101" ht="20" customHeight="1">
      <c r="A101" s="15" t="n">
        <v>100</v>
      </c>
      <c r="B101" s="17" t="n">
        <v>9</v>
      </c>
      <c r="C101" s="19" t="n">
        <v>1124.6</v>
      </c>
      <c r="D101" s="19">
        <f>B101*C101</f>
        <v/>
      </c>
      <c r="E101" s="18" t="n">
        <v>0.41</v>
      </c>
      <c r="F101" s="18" t="n">
        <v>0.88</v>
      </c>
      <c r="G101" s="16" t="inlineStr">
        <is>
          <t>Concrete</t>
        </is>
      </c>
      <c r="H101" s="19">
        <f>D101*'Parameters &amp; Inputs'!$B$15</f>
        <v/>
      </c>
      <c r="I101" s="24">
        <f>(4*SQRT(C101))*(B101*'Parameters &amp; Inputs'!$B$14)*E101*'Parameters &amp; Inputs'!$B$16</f>
        <v/>
      </c>
      <c r="J101" s="25">
        <f>((H101*IF(G101="Mass Timber",'Parameters &amp; Inputs'!$B$7,'Parameters &amp; Inputs'!$B$6)) + (I101*'Parameters &amp; Inputs'!$B$8))/1000</f>
        <v/>
      </c>
      <c r="K101" s="26">
        <f>MAX('Parameters &amp; Inputs'!$B$13, 'Parameters &amp; Inputs'!$B$9 + (E101*'Parameters &amp; Inputs'!$B$10) - (F101*'Parameters &amp; Inputs'!$B$11) - IF(G101="Concrete",'Parameters &amp; Inputs'!$B$12,0))</f>
        <v/>
      </c>
      <c r="L101" s="25">
        <f>(D101*K101*'Parameters &amp; Inputs'!$B$5*'Parameters &amp; Inputs'!$B$4)/1000</f>
        <v/>
      </c>
      <c r="M101" s="25">
        <f>J101+L101</f>
        <v/>
      </c>
      <c r="N101" s="19">
        <f>(M101*1000)/D101</f>
        <v/>
      </c>
      <c r="O101" s="16">
        <f>IF(COUNTIFS($J$2:$J$201, "&lt;"&amp;J101, $L$2:$L$201, "&lt;"&amp;L101)=0, "PARETO", "Sub-optimal")</f>
        <v/>
      </c>
    </row>
    <row r="102" ht="20" customHeight="1">
      <c r="A102" s="10" t="n">
        <v>101</v>
      </c>
      <c r="B102" s="12" t="n">
        <v>14</v>
      </c>
      <c r="C102" s="14" t="n">
        <v>982</v>
      </c>
      <c r="D102" s="14">
        <f>B102*C102</f>
        <v/>
      </c>
      <c r="E102" s="13" t="n">
        <v>0.47</v>
      </c>
      <c r="F102" s="13" t="n">
        <v>0.05</v>
      </c>
      <c r="G102" s="11" t="inlineStr">
        <is>
          <t>Concrete</t>
        </is>
      </c>
      <c r="H102" s="14">
        <f>D102*'Parameters &amp; Inputs'!$B$15</f>
        <v/>
      </c>
      <c r="I102" s="21">
        <f>(4*SQRT(C102))*(B102*'Parameters &amp; Inputs'!$B$14)*E102*'Parameters &amp; Inputs'!$B$16</f>
        <v/>
      </c>
      <c r="J102" s="22">
        <f>((H102*IF(G102="Mass Timber",'Parameters &amp; Inputs'!$B$7,'Parameters &amp; Inputs'!$B$6)) + (I102*'Parameters &amp; Inputs'!$B$8))/1000</f>
        <v/>
      </c>
      <c r="K102" s="23">
        <f>MAX('Parameters &amp; Inputs'!$B$13, 'Parameters &amp; Inputs'!$B$9 + (E102*'Parameters &amp; Inputs'!$B$10) - (F102*'Parameters &amp; Inputs'!$B$11) - IF(G102="Concrete",'Parameters &amp; Inputs'!$B$12,0))</f>
        <v/>
      </c>
      <c r="L102" s="22">
        <f>(D102*K102*'Parameters &amp; Inputs'!$B$5*'Parameters &amp; Inputs'!$B$4)/1000</f>
        <v/>
      </c>
      <c r="M102" s="22">
        <f>J102+L102</f>
        <v/>
      </c>
      <c r="N102" s="14">
        <f>(M102*1000)/D102</f>
        <v/>
      </c>
      <c r="O102" s="11">
        <f>IF(COUNTIFS($J$2:$J$201, "&lt;"&amp;J102, $L$2:$L$201, "&lt;"&amp;L102)=0, "PARETO", "Sub-optimal")</f>
        <v/>
      </c>
    </row>
    <row r="103" ht="20" customHeight="1">
      <c r="A103" s="15" t="n">
        <v>102</v>
      </c>
      <c r="B103" s="17" t="n">
        <v>10</v>
      </c>
      <c r="C103" s="19" t="n">
        <v>1369.7</v>
      </c>
      <c r="D103" s="19">
        <f>B103*C103</f>
        <v/>
      </c>
      <c r="E103" s="18" t="n">
        <v>0.61</v>
      </c>
      <c r="F103" s="18" t="n">
        <v>0.24</v>
      </c>
      <c r="G103" s="16" t="inlineStr">
        <is>
          <t>Mass Timber</t>
        </is>
      </c>
      <c r="H103" s="19">
        <f>D103*'Parameters &amp; Inputs'!$B$15</f>
        <v/>
      </c>
      <c r="I103" s="24">
        <f>(4*SQRT(C103))*(B103*'Parameters &amp; Inputs'!$B$14)*E103*'Parameters &amp; Inputs'!$B$16</f>
        <v/>
      </c>
      <c r="J103" s="25">
        <f>((H103*IF(G103="Mass Timber",'Parameters &amp; Inputs'!$B$7,'Parameters &amp; Inputs'!$B$6)) + (I103*'Parameters &amp; Inputs'!$B$8))/1000</f>
        <v/>
      </c>
      <c r="K103" s="26">
        <f>MAX('Parameters &amp; Inputs'!$B$13, 'Parameters &amp; Inputs'!$B$9 + (E103*'Parameters &amp; Inputs'!$B$10) - (F103*'Parameters &amp; Inputs'!$B$11) - IF(G103="Concrete",'Parameters &amp; Inputs'!$B$12,0))</f>
        <v/>
      </c>
      <c r="L103" s="25">
        <f>(D103*K103*'Parameters &amp; Inputs'!$B$5*'Parameters &amp; Inputs'!$B$4)/1000</f>
        <v/>
      </c>
      <c r="M103" s="25">
        <f>J103+L103</f>
        <v/>
      </c>
      <c r="N103" s="19">
        <f>(M103*1000)/D103</f>
        <v/>
      </c>
      <c r="O103" s="16">
        <f>IF(COUNTIFS($J$2:$J$201, "&lt;"&amp;J103, $L$2:$L$201, "&lt;"&amp;L103)=0, "PARETO", "Sub-optimal")</f>
        <v/>
      </c>
    </row>
    <row r="104" ht="20" customHeight="1">
      <c r="A104" s="10" t="n">
        <v>103</v>
      </c>
      <c r="B104" s="12" t="n">
        <v>11</v>
      </c>
      <c r="C104" s="14" t="n">
        <v>1464.9</v>
      </c>
      <c r="D104" s="14">
        <f>B104*C104</f>
        <v/>
      </c>
      <c r="E104" s="13" t="n">
        <v>0.64</v>
      </c>
      <c r="F104" s="13" t="n">
        <v>0.92</v>
      </c>
      <c r="G104" s="11" t="inlineStr">
        <is>
          <t>Concrete</t>
        </is>
      </c>
      <c r="H104" s="14">
        <f>D104*'Parameters &amp; Inputs'!$B$15</f>
        <v/>
      </c>
      <c r="I104" s="21">
        <f>(4*SQRT(C104))*(B104*'Parameters &amp; Inputs'!$B$14)*E104*'Parameters &amp; Inputs'!$B$16</f>
        <v/>
      </c>
      <c r="J104" s="22">
        <f>((H104*IF(G104="Mass Timber",'Parameters &amp; Inputs'!$B$7,'Parameters &amp; Inputs'!$B$6)) + (I104*'Parameters &amp; Inputs'!$B$8))/1000</f>
        <v/>
      </c>
      <c r="K104" s="23">
        <f>MAX('Parameters &amp; Inputs'!$B$13, 'Parameters &amp; Inputs'!$B$9 + (E104*'Parameters &amp; Inputs'!$B$10) - (F104*'Parameters &amp; Inputs'!$B$11) - IF(G104="Concrete",'Parameters &amp; Inputs'!$B$12,0))</f>
        <v/>
      </c>
      <c r="L104" s="22">
        <f>(D104*K104*'Parameters &amp; Inputs'!$B$5*'Parameters &amp; Inputs'!$B$4)/1000</f>
        <v/>
      </c>
      <c r="M104" s="22">
        <f>J104+L104</f>
        <v/>
      </c>
      <c r="N104" s="14">
        <f>(M104*1000)/D104</f>
        <v/>
      </c>
      <c r="O104" s="11">
        <f>IF(COUNTIFS($J$2:$J$201, "&lt;"&amp;J104, $L$2:$L$201, "&lt;"&amp;L104)=0, "PARETO", "Sub-optimal")</f>
        <v/>
      </c>
    </row>
    <row r="105" ht="20" customHeight="1">
      <c r="A105" s="15" t="n">
        <v>104</v>
      </c>
      <c r="B105" s="17" t="n">
        <v>13</v>
      </c>
      <c r="C105" s="19" t="n">
        <v>1413.7</v>
      </c>
      <c r="D105" s="19">
        <f>B105*C105</f>
        <v/>
      </c>
      <c r="E105" s="18" t="n">
        <v>0.53</v>
      </c>
      <c r="F105" s="18" t="n">
        <v>0.25</v>
      </c>
      <c r="G105" s="16" t="inlineStr">
        <is>
          <t>Concrete</t>
        </is>
      </c>
      <c r="H105" s="19">
        <f>D105*'Parameters &amp; Inputs'!$B$15</f>
        <v/>
      </c>
      <c r="I105" s="24">
        <f>(4*SQRT(C105))*(B105*'Parameters &amp; Inputs'!$B$14)*E105*'Parameters &amp; Inputs'!$B$16</f>
        <v/>
      </c>
      <c r="J105" s="25">
        <f>((H105*IF(G105="Mass Timber",'Parameters &amp; Inputs'!$B$7,'Parameters &amp; Inputs'!$B$6)) + (I105*'Parameters &amp; Inputs'!$B$8))/1000</f>
        <v/>
      </c>
      <c r="K105" s="26">
        <f>MAX('Parameters &amp; Inputs'!$B$13, 'Parameters &amp; Inputs'!$B$9 + (E105*'Parameters &amp; Inputs'!$B$10) - (F105*'Parameters &amp; Inputs'!$B$11) - IF(G105="Concrete",'Parameters &amp; Inputs'!$B$12,0))</f>
        <v/>
      </c>
      <c r="L105" s="25">
        <f>(D105*K105*'Parameters &amp; Inputs'!$B$5*'Parameters &amp; Inputs'!$B$4)/1000</f>
        <v/>
      </c>
      <c r="M105" s="25">
        <f>J105+L105</f>
        <v/>
      </c>
      <c r="N105" s="19">
        <f>(M105*1000)/D105</f>
        <v/>
      </c>
      <c r="O105" s="16">
        <f>IF(COUNTIFS($J$2:$J$201, "&lt;"&amp;J105, $L$2:$L$201, "&lt;"&amp;L105)=0, "PARETO", "Sub-optimal")</f>
        <v/>
      </c>
    </row>
    <row r="106" ht="20" customHeight="1">
      <c r="A106" s="10" t="n">
        <v>105</v>
      </c>
      <c r="B106" s="12" t="n">
        <v>11</v>
      </c>
      <c r="C106" s="14" t="n">
        <v>1367.4</v>
      </c>
      <c r="D106" s="14">
        <f>B106*C106</f>
        <v/>
      </c>
      <c r="E106" s="13" t="n">
        <v>0.79</v>
      </c>
      <c r="F106" s="13" t="n">
        <v>0.23</v>
      </c>
      <c r="G106" s="11" t="inlineStr">
        <is>
          <t>Mass Timber</t>
        </is>
      </c>
      <c r="H106" s="14">
        <f>D106*'Parameters &amp; Inputs'!$B$15</f>
        <v/>
      </c>
      <c r="I106" s="21">
        <f>(4*SQRT(C106))*(B106*'Parameters &amp; Inputs'!$B$14)*E106*'Parameters &amp; Inputs'!$B$16</f>
        <v/>
      </c>
      <c r="J106" s="22">
        <f>((H106*IF(G106="Mass Timber",'Parameters &amp; Inputs'!$B$7,'Parameters &amp; Inputs'!$B$6)) + (I106*'Parameters &amp; Inputs'!$B$8))/1000</f>
        <v/>
      </c>
      <c r="K106" s="23">
        <f>MAX('Parameters &amp; Inputs'!$B$13, 'Parameters &amp; Inputs'!$B$9 + (E106*'Parameters &amp; Inputs'!$B$10) - (F106*'Parameters &amp; Inputs'!$B$11) - IF(G106="Concrete",'Parameters &amp; Inputs'!$B$12,0))</f>
        <v/>
      </c>
      <c r="L106" s="22">
        <f>(D106*K106*'Parameters &amp; Inputs'!$B$5*'Parameters &amp; Inputs'!$B$4)/1000</f>
        <v/>
      </c>
      <c r="M106" s="22">
        <f>J106+L106</f>
        <v/>
      </c>
      <c r="N106" s="14">
        <f>(M106*1000)/D106</f>
        <v/>
      </c>
      <c r="O106" s="11">
        <f>IF(COUNTIFS($J$2:$J$201, "&lt;"&amp;J106, $L$2:$L$201, "&lt;"&amp;L106)=0, "PARETO", "Sub-optimal")</f>
        <v/>
      </c>
    </row>
    <row r="107" ht="20" customHeight="1">
      <c r="A107" s="15" t="n">
        <v>106</v>
      </c>
      <c r="B107" s="17" t="n">
        <v>14</v>
      </c>
      <c r="C107" s="19" t="n">
        <v>1478.9</v>
      </c>
      <c r="D107" s="19">
        <f>B107*C107</f>
        <v/>
      </c>
      <c r="E107" s="18" t="n">
        <v>0.71</v>
      </c>
      <c r="F107" s="18" t="n">
        <v>1.26</v>
      </c>
      <c r="G107" s="16" t="inlineStr">
        <is>
          <t>Concrete</t>
        </is>
      </c>
      <c r="H107" s="19">
        <f>D107*'Parameters &amp; Inputs'!$B$15</f>
        <v/>
      </c>
      <c r="I107" s="24">
        <f>(4*SQRT(C107))*(B107*'Parameters &amp; Inputs'!$B$14)*E107*'Parameters &amp; Inputs'!$B$16</f>
        <v/>
      </c>
      <c r="J107" s="25">
        <f>((H107*IF(G107="Mass Timber",'Parameters &amp; Inputs'!$B$7,'Parameters &amp; Inputs'!$B$6)) + (I107*'Parameters &amp; Inputs'!$B$8))/1000</f>
        <v/>
      </c>
      <c r="K107" s="26">
        <f>MAX('Parameters &amp; Inputs'!$B$13, 'Parameters &amp; Inputs'!$B$9 + (E107*'Parameters &amp; Inputs'!$B$10) - (F107*'Parameters &amp; Inputs'!$B$11) - IF(G107="Concrete",'Parameters &amp; Inputs'!$B$12,0))</f>
        <v/>
      </c>
      <c r="L107" s="25">
        <f>(D107*K107*'Parameters &amp; Inputs'!$B$5*'Parameters &amp; Inputs'!$B$4)/1000</f>
        <v/>
      </c>
      <c r="M107" s="25">
        <f>J107+L107</f>
        <v/>
      </c>
      <c r="N107" s="19">
        <f>(M107*1000)/D107</f>
        <v/>
      </c>
      <c r="O107" s="16">
        <f>IF(COUNTIFS($J$2:$J$201, "&lt;"&amp;J107, $L$2:$L$201, "&lt;"&amp;L107)=0, "PARETO", "Sub-optimal")</f>
        <v/>
      </c>
    </row>
    <row r="108" ht="20" customHeight="1">
      <c r="A108" s="10" t="n">
        <v>107</v>
      </c>
      <c r="B108" s="12" t="n">
        <v>8</v>
      </c>
      <c r="C108" s="14" t="n">
        <v>893.7</v>
      </c>
      <c r="D108" s="14">
        <f>B108*C108</f>
        <v/>
      </c>
      <c r="E108" s="13" t="n">
        <v>0.21</v>
      </c>
      <c r="F108" s="13" t="n">
        <v>0.11</v>
      </c>
      <c r="G108" s="11" t="inlineStr">
        <is>
          <t>Mass Timber</t>
        </is>
      </c>
      <c r="H108" s="14">
        <f>D108*'Parameters &amp; Inputs'!$B$15</f>
        <v/>
      </c>
      <c r="I108" s="21">
        <f>(4*SQRT(C108))*(B108*'Parameters &amp; Inputs'!$B$14)*E108*'Parameters &amp; Inputs'!$B$16</f>
        <v/>
      </c>
      <c r="J108" s="22">
        <f>((H108*IF(G108="Mass Timber",'Parameters &amp; Inputs'!$B$7,'Parameters &amp; Inputs'!$B$6)) + (I108*'Parameters &amp; Inputs'!$B$8))/1000</f>
        <v/>
      </c>
      <c r="K108" s="23">
        <f>MAX('Parameters &amp; Inputs'!$B$13, 'Parameters &amp; Inputs'!$B$9 + (E108*'Parameters &amp; Inputs'!$B$10) - (F108*'Parameters &amp; Inputs'!$B$11) - IF(G108="Concrete",'Parameters &amp; Inputs'!$B$12,0))</f>
        <v/>
      </c>
      <c r="L108" s="22">
        <f>(D108*K108*'Parameters &amp; Inputs'!$B$5*'Parameters &amp; Inputs'!$B$4)/1000</f>
        <v/>
      </c>
      <c r="M108" s="22">
        <f>J108+L108</f>
        <v/>
      </c>
      <c r="N108" s="14">
        <f>(M108*1000)/D108</f>
        <v/>
      </c>
      <c r="O108" s="11">
        <f>IF(COUNTIFS($J$2:$J$201, "&lt;"&amp;J108, $L$2:$L$201, "&lt;"&amp;L108)=0, "PARETO", "Sub-optimal")</f>
        <v/>
      </c>
    </row>
    <row r="109" ht="20" customHeight="1">
      <c r="A109" s="15" t="n">
        <v>108</v>
      </c>
      <c r="B109" s="17" t="n">
        <v>10</v>
      </c>
      <c r="C109" s="19" t="n">
        <v>1499.8</v>
      </c>
      <c r="D109" s="19">
        <f>B109*C109</f>
        <v/>
      </c>
      <c r="E109" s="18" t="n">
        <v>0.8</v>
      </c>
      <c r="F109" s="18" t="n">
        <v>0.83</v>
      </c>
      <c r="G109" s="16" t="inlineStr">
        <is>
          <t>Mass Timber</t>
        </is>
      </c>
      <c r="H109" s="19">
        <f>D109*'Parameters &amp; Inputs'!$B$15</f>
        <v/>
      </c>
      <c r="I109" s="24">
        <f>(4*SQRT(C109))*(B109*'Parameters &amp; Inputs'!$B$14)*E109*'Parameters &amp; Inputs'!$B$16</f>
        <v/>
      </c>
      <c r="J109" s="25">
        <f>((H109*IF(G109="Mass Timber",'Parameters &amp; Inputs'!$B$7,'Parameters &amp; Inputs'!$B$6)) + (I109*'Parameters &amp; Inputs'!$B$8))/1000</f>
        <v/>
      </c>
      <c r="K109" s="26">
        <f>MAX('Parameters &amp; Inputs'!$B$13, 'Parameters &amp; Inputs'!$B$9 + (E109*'Parameters &amp; Inputs'!$B$10) - (F109*'Parameters &amp; Inputs'!$B$11) - IF(G109="Concrete",'Parameters &amp; Inputs'!$B$12,0))</f>
        <v/>
      </c>
      <c r="L109" s="25">
        <f>(D109*K109*'Parameters &amp; Inputs'!$B$5*'Parameters &amp; Inputs'!$B$4)/1000</f>
        <v/>
      </c>
      <c r="M109" s="25">
        <f>J109+L109</f>
        <v/>
      </c>
      <c r="N109" s="19">
        <f>(M109*1000)/D109</f>
        <v/>
      </c>
      <c r="O109" s="16">
        <f>IF(COUNTIFS($J$2:$J$201, "&lt;"&amp;J109, $L$2:$L$201, "&lt;"&amp;L109)=0, "PARETO", "Sub-optimal")</f>
        <v/>
      </c>
    </row>
    <row r="110" ht="20" customHeight="1">
      <c r="A110" s="10" t="n">
        <v>109</v>
      </c>
      <c r="B110" s="12" t="n">
        <v>10</v>
      </c>
      <c r="C110" s="14" t="n">
        <v>1330</v>
      </c>
      <c r="D110" s="14">
        <f>B110*C110</f>
        <v/>
      </c>
      <c r="E110" s="13" t="n">
        <v>0.43</v>
      </c>
      <c r="F110" s="13" t="n">
        <v>0.36</v>
      </c>
      <c r="G110" s="11" t="inlineStr">
        <is>
          <t>Concrete</t>
        </is>
      </c>
      <c r="H110" s="14">
        <f>D110*'Parameters &amp; Inputs'!$B$15</f>
        <v/>
      </c>
      <c r="I110" s="21">
        <f>(4*SQRT(C110))*(B110*'Parameters &amp; Inputs'!$B$14)*E110*'Parameters &amp; Inputs'!$B$16</f>
        <v/>
      </c>
      <c r="J110" s="22">
        <f>((H110*IF(G110="Mass Timber",'Parameters &amp; Inputs'!$B$7,'Parameters &amp; Inputs'!$B$6)) + (I110*'Parameters &amp; Inputs'!$B$8))/1000</f>
        <v/>
      </c>
      <c r="K110" s="23">
        <f>MAX('Parameters &amp; Inputs'!$B$13, 'Parameters &amp; Inputs'!$B$9 + (E110*'Parameters &amp; Inputs'!$B$10) - (F110*'Parameters &amp; Inputs'!$B$11) - IF(G110="Concrete",'Parameters &amp; Inputs'!$B$12,0))</f>
        <v/>
      </c>
      <c r="L110" s="22">
        <f>(D110*K110*'Parameters &amp; Inputs'!$B$5*'Parameters &amp; Inputs'!$B$4)/1000</f>
        <v/>
      </c>
      <c r="M110" s="22">
        <f>J110+L110</f>
        <v/>
      </c>
      <c r="N110" s="14">
        <f>(M110*1000)/D110</f>
        <v/>
      </c>
      <c r="O110" s="11">
        <f>IF(COUNTIFS($J$2:$J$201, "&lt;"&amp;J110, $L$2:$L$201, "&lt;"&amp;L110)=0, "PARETO", "Sub-optimal")</f>
        <v/>
      </c>
    </row>
    <row r="111" ht="20" customHeight="1">
      <c r="A111" s="15" t="n">
        <v>110</v>
      </c>
      <c r="B111" s="17" t="n">
        <v>6</v>
      </c>
      <c r="C111" s="19" t="n">
        <v>1467.8</v>
      </c>
      <c r="D111" s="19">
        <f>B111*C111</f>
        <v/>
      </c>
      <c r="E111" s="18" t="n">
        <v>0.5600000000000001</v>
      </c>
      <c r="F111" s="18" t="n">
        <v>0.34</v>
      </c>
      <c r="G111" s="16" t="inlineStr">
        <is>
          <t>Mass Timber</t>
        </is>
      </c>
      <c r="H111" s="19">
        <f>D111*'Parameters &amp; Inputs'!$B$15</f>
        <v/>
      </c>
      <c r="I111" s="24">
        <f>(4*SQRT(C111))*(B111*'Parameters &amp; Inputs'!$B$14)*E111*'Parameters &amp; Inputs'!$B$16</f>
        <v/>
      </c>
      <c r="J111" s="25">
        <f>((H111*IF(G111="Mass Timber",'Parameters &amp; Inputs'!$B$7,'Parameters &amp; Inputs'!$B$6)) + (I111*'Parameters &amp; Inputs'!$B$8))/1000</f>
        <v/>
      </c>
      <c r="K111" s="26">
        <f>MAX('Parameters &amp; Inputs'!$B$13, 'Parameters &amp; Inputs'!$B$9 + (E111*'Parameters &amp; Inputs'!$B$10) - (F111*'Parameters &amp; Inputs'!$B$11) - IF(G111="Concrete",'Parameters &amp; Inputs'!$B$12,0))</f>
        <v/>
      </c>
      <c r="L111" s="25">
        <f>(D111*K111*'Parameters &amp; Inputs'!$B$5*'Parameters &amp; Inputs'!$B$4)/1000</f>
        <v/>
      </c>
      <c r="M111" s="25">
        <f>J111+L111</f>
        <v/>
      </c>
      <c r="N111" s="19">
        <f>(M111*1000)/D111</f>
        <v/>
      </c>
      <c r="O111" s="16">
        <f>IF(COUNTIFS($J$2:$J$201, "&lt;"&amp;J111, $L$2:$L$201, "&lt;"&amp;L111)=0, "PARETO", "Sub-optimal")</f>
        <v/>
      </c>
    </row>
    <row r="112" ht="20" customHeight="1">
      <c r="A112" s="10" t="n">
        <v>111</v>
      </c>
      <c r="B112" s="12" t="n">
        <v>7</v>
      </c>
      <c r="C112" s="14" t="n">
        <v>1050.7</v>
      </c>
      <c r="D112" s="14">
        <f>B112*C112</f>
        <v/>
      </c>
      <c r="E112" s="13" t="n">
        <v>0.27</v>
      </c>
      <c r="F112" s="13" t="n">
        <v>1.01</v>
      </c>
      <c r="G112" s="11" t="inlineStr">
        <is>
          <t>Mass Timber</t>
        </is>
      </c>
      <c r="H112" s="14">
        <f>D112*'Parameters &amp; Inputs'!$B$15</f>
        <v/>
      </c>
      <c r="I112" s="21">
        <f>(4*SQRT(C112))*(B112*'Parameters &amp; Inputs'!$B$14)*E112*'Parameters &amp; Inputs'!$B$16</f>
        <v/>
      </c>
      <c r="J112" s="22">
        <f>((H112*IF(G112="Mass Timber",'Parameters &amp; Inputs'!$B$7,'Parameters &amp; Inputs'!$B$6)) + (I112*'Parameters &amp; Inputs'!$B$8))/1000</f>
        <v/>
      </c>
      <c r="K112" s="23">
        <f>MAX('Parameters &amp; Inputs'!$B$13, 'Parameters &amp; Inputs'!$B$9 + (E112*'Parameters &amp; Inputs'!$B$10) - (F112*'Parameters &amp; Inputs'!$B$11) - IF(G112="Concrete",'Parameters &amp; Inputs'!$B$12,0))</f>
        <v/>
      </c>
      <c r="L112" s="22">
        <f>(D112*K112*'Parameters &amp; Inputs'!$B$5*'Parameters &amp; Inputs'!$B$4)/1000</f>
        <v/>
      </c>
      <c r="M112" s="22">
        <f>J112+L112</f>
        <v/>
      </c>
      <c r="N112" s="14">
        <f>(M112*1000)/D112</f>
        <v/>
      </c>
      <c r="O112" s="11">
        <f>IF(COUNTIFS($J$2:$J$201, "&lt;"&amp;J112, $L$2:$L$201, "&lt;"&amp;L112)=0, "PARETO", "Sub-optimal")</f>
        <v/>
      </c>
    </row>
    <row r="113" ht="20" customHeight="1">
      <c r="A113" s="15" t="n">
        <v>112</v>
      </c>
      <c r="B113" s="17" t="n">
        <v>11</v>
      </c>
      <c r="C113" s="19" t="n">
        <v>1382</v>
      </c>
      <c r="D113" s="19">
        <f>B113*C113</f>
        <v/>
      </c>
      <c r="E113" s="18" t="n">
        <v>0.38</v>
      </c>
      <c r="F113" s="18" t="n">
        <v>1.22</v>
      </c>
      <c r="G113" s="16" t="inlineStr">
        <is>
          <t>Mass Timber</t>
        </is>
      </c>
      <c r="H113" s="19">
        <f>D113*'Parameters &amp; Inputs'!$B$15</f>
        <v/>
      </c>
      <c r="I113" s="24">
        <f>(4*SQRT(C113))*(B113*'Parameters &amp; Inputs'!$B$14)*E113*'Parameters &amp; Inputs'!$B$16</f>
        <v/>
      </c>
      <c r="J113" s="25">
        <f>((H113*IF(G113="Mass Timber",'Parameters &amp; Inputs'!$B$7,'Parameters &amp; Inputs'!$B$6)) + (I113*'Parameters &amp; Inputs'!$B$8))/1000</f>
        <v/>
      </c>
      <c r="K113" s="26">
        <f>MAX('Parameters &amp; Inputs'!$B$13, 'Parameters &amp; Inputs'!$B$9 + (E113*'Parameters &amp; Inputs'!$B$10) - (F113*'Parameters &amp; Inputs'!$B$11) - IF(G113="Concrete",'Parameters &amp; Inputs'!$B$12,0))</f>
        <v/>
      </c>
      <c r="L113" s="25">
        <f>(D113*K113*'Parameters &amp; Inputs'!$B$5*'Parameters &amp; Inputs'!$B$4)/1000</f>
        <v/>
      </c>
      <c r="M113" s="25">
        <f>J113+L113</f>
        <v/>
      </c>
      <c r="N113" s="19">
        <f>(M113*1000)/D113</f>
        <v/>
      </c>
      <c r="O113" s="16">
        <f>IF(COUNTIFS($J$2:$J$201, "&lt;"&amp;J113, $L$2:$L$201, "&lt;"&amp;L113)=0, "PARETO", "Sub-optimal")</f>
        <v/>
      </c>
    </row>
    <row r="114" ht="20" customHeight="1">
      <c r="A114" s="10" t="n">
        <v>113</v>
      </c>
      <c r="B114" s="12" t="n">
        <v>14</v>
      </c>
      <c r="C114" s="14" t="n">
        <v>1213</v>
      </c>
      <c r="D114" s="14">
        <f>B114*C114</f>
        <v/>
      </c>
      <c r="E114" s="13" t="n">
        <v>0.49</v>
      </c>
      <c r="F114" s="13" t="n">
        <v>0.63</v>
      </c>
      <c r="G114" s="11" t="inlineStr">
        <is>
          <t>Mass Timber</t>
        </is>
      </c>
      <c r="H114" s="14">
        <f>D114*'Parameters &amp; Inputs'!$B$15</f>
        <v/>
      </c>
      <c r="I114" s="21">
        <f>(4*SQRT(C114))*(B114*'Parameters &amp; Inputs'!$B$14)*E114*'Parameters &amp; Inputs'!$B$16</f>
        <v/>
      </c>
      <c r="J114" s="22">
        <f>((H114*IF(G114="Mass Timber",'Parameters &amp; Inputs'!$B$7,'Parameters &amp; Inputs'!$B$6)) + (I114*'Parameters &amp; Inputs'!$B$8))/1000</f>
        <v/>
      </c>
      <c r="K114" s="23">
        <f>MAX('Parameters &amp; Inputs'!$B$13, 'Parameters &amp; Inputs'!$B$9 + (E114*'Parameters &amp; Inputs'!$B$10) - (F114*'Parameters &amp; Inputs'!$B$11) - IF(G114="Concrete",'Parameters &amp; Inputs'!$B$12,0))</f>
        <v/>
      </c>
      <c r="L114" s="22">
        <f>(D114*K114*'Parameters &amp; Inputs'!$B$5*'Parameters &amp; Inputs'!$B$4)/1000</f>
        <v/>
      </c>
      <c r="M114" s="22">
        <f>J114+L114</f>
        <v/>
      </c>
      <c r="N114" s="14">
        <f>(M114*1000)/D114</f>
        <v/>
      </c>
      <c r="O114" s="11">
        <f>IF(COUNTIFS($J$2:$J$201, "&lt;"&amp;J114, $L$2:$L$201, "&lt;"&amp;L114)=0, "PARETO", "Sub-optimal")</f>
        <v/>
      </c>
    </row>
    <row r="115" ht="20" customHeight="1">
      <c r="A115" s="15" t="n">
        <v>114</v>
      </c>
      <c r="B115" s="17" t="n">
        <v>7</v>
      </c>
      <c r="C115" s="19" t="n">
        <v>1363.5</v>
      </c>
      <c r="D115" s="19">
        <f>B115*C115</f>
        <v/>
      </c>
      <c r="E115" s="18" t="n">
        <v>0.74</v>
      </c>
      <c r="F115" s="18" t="n">
        <v>0.93</v>
      </c>
      <c r="G115" s="16" t="inlineStr">
        <is>
          <t>Mass Timber</t>
        </is>
      </c>
      <c r="H115" s="19">
        <f>D115*'Parameters &amp; Inputs'!$B$15</f>
        <v/>
      </c>
      <c r="I115" s="24">
        <f>(4*SQRT(C115))*(B115*'Parameters &amp; Inputs'!$B$14)*E115*'Parameters &amp; Inputs'!$B$16</f>
        <v/>
      </c>
      <c r="J115" s="25">
        <f>((H115*IF(G115="Mass Timber",'Parameters &amp; Inputs'!$B$7,'Parameters &amp; Inputs'!$B$6)) + (I115*'Parameters &amp; Inputs'!$B$8))/1000</f>
        <v/>
      </c>
      <c r="K115" s="26">
        <f>MAX('Parameters &amp; Inputs'!$B$13, 'Parameters &amp; Inputs'!$B$9 + (E115*'Parameters &amp; Inputs'!$B$10) - (F115*'Parameters &amp; Inputs'!$B$11) - IF(G115="Concrete",'Parameters &amp; Inputs'!$B$12,0))</f>
        <v/>
      </c>
      <c r="L115" s="25">
        <f>(D115*K115*'Parameters &amp; Inputs'!$B$5*'Parameters &amp; Inputs'!$B$4)/1000</f>
        <v/>
      </c>
      <c r="M115" s="25">
        <f>J115+L115</f>
        <v/>
      </c>
      <c r="N115" s="19">
        <f>(M115*1000)/D115</f>
        <v/>
      </c>
      <c r="O115" s="16">
        <f>IF(COUNTIFS($J$2:$J$201, "&lt;"&amp;J115, $L$2:$L$201, "&lt;"&amp;L115)=0, "PARETO", "Sub-optimal")</f>
        <v/>
      </c>
    </row>
    <row r="116" ht="20" customHeight="1">
      <c r="A116" s="10" t="n">
        <v>115</v>
      </c>
      <c r="B116" s="12" t="n">
        <v>7</v>
      </c>
      <c r="C116" s="14" t="n">
        <v>1212.9</v>
      </c>
      <c r="D116" s="14">
        <f>B116*C116</f>
        <v/>
      </c>
      <c r="E116" s="13" t="n">
        <v>0.44</v>
      </c>
      <c r="F116" s="13" t="n">
        <v>0.66</v>
      </c>
      <c r="G116" s="11" t="inlineStr">
        <is>
          <t>Mass Timber</t>
        </is>
      </c>
      <c r="H116" s="14">
        <f>D116*'Parameters &amp; Inputs'!$B$15</f>
        <v/>
      </c>
      <c r="I116" s="21">
        <f>(4*SQRT(C116))*(B116*'Parameters &amp; Inputs'!$B$14)*E116*'Parameters &amp; Inputs'!$B$16</f>
        <v/>
      </c>
      <c r="J116" s="22">
        <f>((H116*IF(G116="Mass Timber",'Parameters &amp; Inputs'!$B$7,'Parameters &amp; Inputs'!$B$6)) + (I116*'Parameters &amp; Inputs'!$B$8))/1000</f>
        <v/>
      </c>
      <c r="K116" s="23">
        <f>MAX('Parameters &amp; Inputs'!$B$13, 'Parameters &amp; Inputs'!$B$9 + (E116*'Parameters &amp; Inputs'!$B$10) - (F116*'Parameters &amp; Inputs'!$B$11) - IF(G116="Concrete",'Parameters &amp; Inputs'!$B$12,0))</f>
        <v/>
      </c>
      <c r="L116" s="22">
        <f>(D116*K116*'Parameters &amp; Inputs'!$B$5*'Parameters &amp; Inputs'!$B$4)/1000</f>
        <v/>
      </c>
      <c r="M116" s="22">
        <f>J116+L116</f>
        <v/>
      </c>
      <c r="N116" s="14">
        <f>(M116*1000)/D116</f>
        <v/>
      </c>
      <c r="O116" s="11">
        <f>IF(COUNTIFS($J$2:$J$201, "&lt;"&amp;J116, $L$2:$L$201, "&lt;"&amp;L116)=0, "PARETO", "Sub-optimal")</f>
        <v/>
      </c>
    </row>
    <row r="117" ht="20" customHeight="1">
      <c r="A117" s="15" t="n">
        <v>116</v>
      </c>
      <c r="B117" s="17" t="n">
        <v>9</v>
      </c>
      <c r="C117" s="19" t="n">
        <v>1183.2</v>
      </c>
      <c r="D117" s="19">
        <f>B117*C117</f>
        <v/>
      </c>
      <c r="E117" s="18" t="n">
        <v>0.47</v>
      </c>
      <c r="F117" s="18" t="n">
        <v>1.37</v>
      </c>
      <c r="G117" s="16" t="inlineStr">
        <is>
          <t>Concrete</t>
        </is>
      </c>
      <c r="H117" s="19">
        <f>D117*'Parameters &amp; Inputs'!$B$15</f>
        <v/>
      </c>
      <c r="I117" s="24">
        <f>(4*SQRT(C117))*(B117*'Parameters &amp; Inputs'!$B$14)*E117*'Parameters &amp; Inputs'!$B$16</f>
        <v/>
      </c>
      <c r="J117" s="25">
        <f>((H117*IF(G117="Mass Timber",'Parameters &amp; Inputs'!$B$7,'Parameters &amp; Inputs'!$B$6)) + (I117*'Parameters &amp; Inputs'!$B$8))/1000</f>
        <v/>
      </c>
      <c r="K117" s="26">
        <f>MAX('Parameters &amp; Inputs'!$B$13, 'Parameters &amp; Inputs'!$B$9 + (E117*'Parameters &amp; Inputs'!$B$10) - (F117*'Parameters &amp; Inputs'!$B$11) - IF(G117="Concrete",'Parameters &amp; Inputs'!$B$12,0))</f>
        <v/>
      </c>
      <c r="L117" s="25">
        <f>(D117*K117*'Parameters &amp; Inputs'!$B$5*'Parameters &amp; Inputs'!$B$4)/1000</f>
        <v/>
      </c>
      <c r="M117" s="25">
        <f>J117+L117</f>
        <v/>
      </c>
      <c r="N117" s="19">
        <f>(M117*1000)/D117</f>
        <v/>
      </c>
      <c r="O117" s="16">
        <f>IF(COUNTIFS($J$2:$J$201, "&lt;"&amp;J117, $L$2:$L$201, "&lt;"&amp;L117)=0, "PARETO", "Sub-optimal")</f>
        <v/>
      </c>
    </row>
    <row r="118" ht="20" customHeight="1">
      <c r="A118" s="10" t="n">
        <v>117</v>
      </c>
      <c r="B118" s="12" t="n">
        <v>8</v>
      </c>
      <c r="C118" s="14" t="n">
        <v>1288.3</v>
      </c>
      <c r="D118" s="14">
        <f>B118*C118</f>
        <v/>
      </c>
      <c r="E118" s="13" t="n">
        <v>0.68</v>
      </c>
      <c r="F118" s="13" t="n">
        <v>0.6899999999999999</v>
      </c>
      <c r="G118" s="11" t="inlineStr">
        <is>
          <t>Mass Timber</t>
        </is>
      </c>
      <c r="H118" s="14">
        <f>D118*'Parameters &amp; Inputs'!$B$15</f>
        <v/>
      </c>
      <c r="I118" s="21">
        <f>(4*SQRT(C118))*(B118*'Parameters &amp; Inputs'!$B$14)*E118*'Parameters &amp; Inputs'!$B$16</f>
        <v/>
      </c>
      <c r="J118" s="22">
        <f>((H118*IF(G118="Mass Timber",'Parameters &amp; Inputs'!$B$7,'Parameters &amp; Inputs'!$B$6)) + (I118*'Parameters &amp; Inputs'!$B$8))/1000</f>
        <v/>
      </c>
      <c r="K118" s="23">
        <f>MAX('Parameters &amp; Inputs'!$B$13, 'Parameters &amp; Inputs'!$B$9 + (E118*'Parameters &amp; Inputs'!$B$10) - (F118*'Parameters &amp; Inputs'!$B$11) - IF(G118="Concrete",'Parameters &amp; Inputs'!$B$12,0))</f>
        <v/>
      </c>
      <c r="L118" s="22">
        <f>(D118*K118*'Parameters &amp; Inputs'!$B$5*'Parameters &amp; Inputs'!$B$4)/1000</f>
        <v/>
      </c>
      <c r="M118" s="22">
        <f>J118+L118</f>
        <v/>
      </c>
      <c r="N118" s="14">
        <f>(M118*1000)/D118</f>
        <v/>
      </c>
      <c r="O118" s="11">
        <f>IF(COUNTIFS($J$2:$J$201, "&lt;"&amp;J118, $L$2:$L$201, "&lt;"&amp;L118)=0, "PARETO", "Sub-optimal")</f>
        <v/>
      </c>
    </row>
    <row r="119" ht="20" customHeight="1">
      <c r="A119" s="15" t="n">
        <v>118</v>
      </c>
      <c r="B119" s="17" t="n">
        <v>6</v>
      </c>
      <c r="C119" s="19" t="n">
        <v>980.8</v>
      </c>
      <c r="D119" s="19">
        <f>B119*C119</f>
        <v/>
      </c>
      <c r="E119" s="18" t="n">
        <v>0.48</v>
      </c>
      <c r="F119" s="18" t="n">
        <v>1.47</v>
      </c>
      <c r="G119" s="16" t="inlineStr">
        <is>
          <t>Concrete</t>
        </is>
      </c>
      <c r="H119" s="19">
        <f>D119*'Parameters &amp; Inputs'!$B$15</f>
        <v/>
      </c>
      <c r="I119" s="24">
        <f>(4*SQRT(C119))*(B119*'Parameters &amp; Inputs'!$B$14)*E119*'Parameters &amp; Inputs'!$B$16</f>
        <v/>
      </c>
      <c r="J119" s="25">
        <f>((H119*IF(G119="Mass Timber",'Parameters &amp; Inputs'!$B$7,'Parameters &amp; Inputs'!$B$6)) + (I119*'Parameters &amp; Inputs'!$B$8))/1000</f>
        <v/>
      </c>
      <c r="K119" s="26">
        <f>MAX('Parameters &amp; Inputs'!$B$13, 'Parameters &amp; Inputs'!$B$9 + (E119*'Parameters &amp; Inputs'!$B$10) - (F119*'Parameters &amp; Inputs'!$B$11) - IF(G119="Concrete",'Parameters &amp; Inputs'!$B$12,0))</f>
        <v/>
      </c>
      <c r="L119" s="25">
        <f>(D119*K119*'Parameters &amp; Inputs'!$B$5*'Parameters &amp; Inputs'!$B$4)/1000</f>
        <v/>
      </c>
      <c r="M119" s="25">
        <f>J119+L119</f>
        <v/>
      </c>
      <c r="N119" s="19">
        <f>(M119*1000)/D119</f>
        <v/>
      </c>
      <c r="O119" s="16">
        <f>IF(COUNTIFS($J$2:$J$201, "&lt;"&amp;J119, $L$2:$L$201, "&lt;"&amp;L119)=0, "PARETO", "Sub-optimal")</f>
        <v/>
      </c>
    </row>
    <row r="120" ht="20" customHeight="1">
      <c r="A120" s="10" t="n">
        <v>119</v>
      </c>
      <c r="B120" s="12" t="n">
        <v>8</v>
      </c>
      <c r="C120" s="14" t="n">
        <v>1176.1</v>
      </c>
      <c r="D120" s="14">
        <f>B120*C120</f>
        <v/>
      </c>
      <c r="E120" s="13" t="n">
        <v>0.48</v>
      </c>
      <c r="F120" s="13" t="n">
        <v>0.88</v>
      </c>
      <c r="G120" s="11" t="inlineStr">
        <is>
          <t>Concrete</t>
        </is>
      </c>
      <c r="H120" s="14">
        <f>D120*'Parameters &amp; Inputs'!$B$15</f>
        <v/>
      </c>
      <c r="I120" s="21">
        <f>(4*SQRT(C120))*(B120*'Parameters &amp; Inputs'!$B$14)*E120*'Parameters &amp; Inputs'!$B$16</f>
        <v/>
      </c>
      <c r="J120" s="22">
        <f>((H120*IF(G120="Mass Timber",'Parameters &amp; Inputs'!$B$7,'Parameters &amp; Inputs'!$B$6)) + (I120*'Parameters &amp; Inputs'!$B$8))/1000</f>
        <v/>
      </c>
      <c r="K120" s="23">
        <f>MAX('Parameters &amp; Inputs'!$B$13, 'Parameters &amp; Inputs'!$B$9 + (E120*'Parameters &amp; Inputs'!$B$10) - (F120*'Parameters &amp; Inputs'!$B$11) - IF(G120="Concrete",'Parameters &amp; Inputs'!$B$12,0))</f>
        <v/>
      </c>
      <c r="L120" s="22">
        <f>(D120*K120*'Parameters &amp; Inputs'!$B$5*'Parameters &amp; Inputs'!$B$4)/1000</f>
        <v/>
      </c>
      <c r="M120" s="22">
        <f>J120+L120</f>
        <v/>
      </c>
      <c r="N120" s="14">
        <f>(M120*1000)/D120</f>
        <v/>
      </c>
      <c r="O120" s="11">
        <f>IF(COUNTIFS($J$2:$J$201, "&lt;"&amp;J120, $L$2:$L$201, "&lt;"&amp;L120)=0, "PARETO", "Sub-optimal")</f>
        <v/>
      </c>
    </row>
    <row r="121" ht="20" customHeight="1">
      <c r="A121" s="15" t="n">
        <v>120</v>
      </c>
      <c r="B121" s="17" t="n">
        <v>13</v>
      </c>
      <c r="C121" s="19" t="n">
        <v>926</v>
      </c>
      <c r="D121" s="19">
        <f>B121*C121</f>
        <v/>
      </c>
      <c r="E121" s="18" t="n">
        <v>0.62</v>
      </c>
      <c r="F121" s="18" t="n">
        <v>0.62</v>
      </c>
      <c r="G121" s="16" t="inlineStr">
        <is>
          <t>Mass Timber</t>
        </is>
      </c>
      <c r="H121" s="19">
        <f>D121*'Parameters &amp; Inputs'!$B$15</f>
        <v/>
      </c>
      <c r="I121" s="24">
        <f>(4*SQRT(C121))*(B121*'Parameters &amp; Inputs'!$B$14)*E121*'Parameters &amp; Inputs'!$B$16</f>
        <v/>
      </c>
      <c r="J121" s="25">
        <f>((H121*IF(G121="Mass Timber",'Parameters &amp; Inputs'!$B$7,'Parameters &amp; Inputs'!$B$6)) + (I121*'Parameters &amp; Inputs'!$B$8))/1000</f>
        <v/>
      </c>
      <c r="K121" s="26">
        <f>MAX('Parameters &amp; Inputs'!$B$13, 'Parameters &amp; Inputs'!$B$9 + (E121*'Parameters &amp; Inputs'!$B$10) - (F121*'Parameters &amp; Inputs'!$B$11) - IF(G121="Concrete",'Parameters &amp; Inputs'!$B$12,0))</f>
        <v/>
      </c>
      <c r="L121" s="25">
        <f>(D121*K121*'Parameters &amp; Inputs'!$B$5*'Parameters &amp; Inputs'!$B$4)/1000</f>
        <v/>
      </c>
      <c r="M121" s="25">
        <f>J121+L121</f>
        <v/>
      </c>
      <c r="N121" s="19">
        <f>(M121*1000)/D121</f>
        <v/>
      </c>
      <c r="O121" s="16">
        <f>IF(COUNTIFS($J$2:$J$201, "&lt;"&amp;J121, $L$2:$L$201, "&lt;"&amp;L121)=0, "PARETO", "Sub-optimal")</f>
        <v/>
      </c>
    </row>
    <row r="122" ht="20" customHeight="1">
      <c r="A122" s="10" t="n">
        <v>121</v>
      </c>
      <c r="B122" s="12" t="n">
        <v>7</v>
      </c>
      <c r="C122" s="14" t="n">
        <v>1221.4</v>
      </c>
      <c r="D122" s="14">
        <f>B122*C122</f>
        <v/>
      </c>
      <c r="E122" s="13" t="n">
        <v>0.33</v>
      </c>
      <c r="F122" s="13" t="n">
        <v>1.23</v>
      </c>
      <c r="G122" s="11" t="inlineStr">
        <is>
          <t>Concrete</t>
        </is>
      </c>
      <c r="H122" s="14">
        <f>D122*'Parameters &amp; Inputs'!$B$15</f>
        <v/>
      </c>
      <c r="I122" s="21">
        <f>(4*SQRT(C122))*(B122*'Parameters &amp; Inputs'!$B$14)*E122*'Parameters &amp; Inputs'!$B$16</f>
        <v/>
      </c>
      <c r="J122" s="22">
        <f>((H122*IF(G122="Mass Timber",'Parameters &amp; Inputs'!$B$7,'Parameters &amp; Inputs'!$B$6)) + (I122*'Parameters &amp; Inputs'!$B$8))/1000</f>
        <v/>
      </c>
      <c r="K122" s="23">
        <f>MAX('Parameters &amp; Inputs'!$B$13, 'Parameters &amp; Inputs'!$B$9 + (E122*'Parameters &amp; Inputs'!$B$10) - (F122*'Parameters &amp; Inputs'!$B$11) - IF(G122="Concrete",'Parameters &amp; Inputs'!$B$12,0))</f>
        <v/>
      </c>
      <c r="L122" s="22">
        <f>(D122*K122*'Parameters &amp; Inputs'!$B$5*'Parameters &amp; Inputs'!$B$4)/1000</f>
        <v/>
      </c>
      <c r="M122" s="22">
        <f>J122+L122</f>
        <v/>
      </c>
      <c r="N122" s="14">
        <f>(M122*1000)/D122</f>
        <v/>
      </c>
      <c r="O122" s="11">
        <f>IF(COUNTIFS($J$2:$J$201, "&lt;"&amp;J122, $L$2:$L$201, "&lt;"&amp;L122)=0, "PARETO", "Sub-optimal")</f>
        <v/>
      </c>
    </row>
    <row r="123" ht="20" customHeight="1">
      <c r="A123" s="15" t="n">
        <v>122</v>
      </c>
      <c r="B123" s="17" t="n">
        <v>11</v>
      </c>
      <c r="C123" s="19" t="n">
        <v>862.1</v>
      </c>
      <c r="D123" s="19">
        <f>B123*C123</f>
        <v/>
      </c>
      <c r="E123" s="18" t="n">
        <v>0.27</v>
      </c>
      <c r="F123" s="18" t="n">
        <v>0.6899999999999999</v>
      </c>
      <c r="G123" s="16" t="inlineStr">
        <is>
          <t>Concrete</t>
        </is>
      </c>
      <c r="H123" s="19">
        <f>D123*'Parameters &amp; Inputs'!$B$15</f>
        <v/>
      </c>
      <c r="I123" s="24">
        <f>(4*SQRT(C123))*(B123*'Parameters &amp; Inputs'!$B$14)*E123*'Parameters &amp; Inputs'!$B$16</f>
        <v/>
      </c>
      <c r="J123" s="25">
        <f>((H123*IF(G123="Mass Timber",'Parameters &amp; Inputs'!$B$7,'Parameters &amp; Inputs'!$B$6)) + (I123*'Parameters &amp; Inputs'!$B$8))/1000</f>
        <v/>
      </c>
      <c r="K123" s="26">
        <f>MAX('Parameters &amp; Inputs'!$B$13, 'Parameters &amp; Inputs'!$B$9 + (E123*'Parameters &amp; Inputs'!$B$10) - (F123*'Parameters &amp; Inputs'!$B$11) - IF(G123="Concrete",'Parameters &amp; Inputs'!$B$12,0))</f>
        <v/>
      </c>
      <c r="L123" s="25">
        <f>(D123*K123*'Parameters &amp; Inputs'!$B$5*'Parameters &amp; Inputs'!$B$4)/1000</f>
        <v/>
      </c>
      <c r="M123" s="25">
        <f>J123+L123</f>
        <v/>
      </c>
      <c r="N123" s="19">
        <f>(M123*1000)/D123</f>
        <v/>
      </c>
      <c r="O123" s="16">
        <f>IF(COUNTIFS($J$2:$J$201, "&lt;"&amp;J123, $L$2:$L$201, "&lt;"&amp;L123)=0, "PARETO", "Sub-optimal")</f>
        <v/>
      </c>
    </row>
    <row r="124" ht="20" customHeight="1">
      <c r="A124" s="10" t="n">
        <v>123</v>
      </c>
      <c r="B124" s="12" t="n">
        <v>7</v>
      </c>
      <c r="C124" s="14" t="n">
        <v>890.1</v>
      </c>
      <c r="D124" s="14">
        <f>B124*C124</f>
        <v/>
      </c>
      <c r="E124" s="13" t="n">
        <v>0.4</v>
      </c>
      <c r="F124" s="13" t="n">
        <v>0.48</v>
      </c>
      <c r="G124" s="11" t="inlineStr">
        <is>
          <t>Concrete</t>
        </is>
      </c>
      <c r="H124" s="14">
        <f>D124*'Parameters &amp; Inputs'!$B$15</f>
        <v/>
      </c>
      <c r="I124" s="21">
        <f>(4*SQRT(C124))*(B124*'Parameters &amp; Inputs'!$B$14)*E124*'Parameters &amp; Inputs'!$B$16</f>
        <v/>
      </c>
      <c r="J124" s="22">
        <f>((H124*IF(G124="Mass Timber",'Parameters &amp; Inputs'!$B$7,'Parameters &amp; Inputs'!$B$6)) + (I124*'Parameters &amp; Inputs'!$B$8))/1000</f>
        <v/>
      </c>
      <c r="K124" s="23">
        <f>MAX('Parameters &amp; Inputs'!$B$13, 'Parameters &amp; Inputs'!$B$9 + (E124*'Parameters &amp; Inputs'!$B$10) - (F124*'Parameters &amp; Inputs'!$B$11) - IF(G124="Concrete",'Parameters &amp; Inputs'!$B$12,0))</f>
        <v/>
      </c>
      <c r="L124" s="22">
        <f>(D124*K124*'Parameters &amp; Inputs'!$B$5*'Parameters &amp; Inputs'!$B$4)/1000</f>
        <v/>
      </c>
      <c r="M124" s="22">
        <f>J124+L124</f>
        <v/>
      </c>
      <c r="N124" s="14">
        <f>(M124*1000)/D124</f>
        <v/>
      </c>
      <c r="O124" s="11">
        <f>IF(COUNTIFS($J$2:$J$201, "&lt;"&amp;J124, $L$2:$L$201, "&lt;"&amp;L124)=0, "PARETO", "Sub-optimal")</f>
        <v/>
      </c>
    </row>
    <row r="125" ht="20" customHeight="1">
      <c r="A125" s="15" t="n">
        <v>124</v>
      </c>
      <c r="B125" s="17" t="n">
        <v>14</v>
      </c>
      <c r="C125" s="19" t="n">
        <v>1281.4</v>
      </c>
      <c r="D125" s="19">
        <f>B125*C125</f>
        <v/>
      </c>
      <c r="E125" s="18" t="n">
        <v>0.51</v>
      </c>
      <c r="F125" s="18" t="n">
        <v>0.24</v>
      </c>
      <c r="G125" s="16" t="inlineStr">
        <is>
          <t>Concrete</t>
        </is>
      </c>
      <c r="H125" s="19">
        <f>D125*'Parameters &amp; Inputs'!$B$15</f>
        <v/>
      </c>
      <c r="I125" s="24">
        <f>(4*SQRT(C125))*(B125*'Parameters &amp; Inputs'!$B$14)*E125*'Parameters &amp; Inputs'!$B$16</f>
        <v/>
      </c>
      <c r="J125" s="25">
        <f>((H125*IF(G125="Mass Timber",'Parameters &amp; Inputs'!$B$7,'Parameters &amp; Inputs'!$B$6)) + (I125*'Parameters &amp; Inputs'!$B$8))/1000</f>
        <v/>
      </c>
      <c r="K125" s="26">
        <f>MAX('Parameters &amp; Inputs'!$B$13, 'Parameters &amp; Inputs'!$B$9 + (E125*'Parameters &amp; Inputs'!$B$10) - (F125*'Parameters &amp; Inputs'!$B$11) - IF(G125="Concrete",'Parameters &amp; Inputs'!$B$12,0))</f>
        <v/>
      </c>
      <c r="L125" s="25">
        <f>(D125*K125*'Parameters &amp; Inputs'!$B$5*'Parameters &amp; Inputs'!$B$4)/1000</f>
        <v/>
      </c>
      <c r="M125" s="25">
        <f>J125+L125</f>
        <v/>
      </c>
      <c r="N125" s="19">
        <f>(M125*1000)/D125</f>
        <v/>
      </c>
      <c r="O125" s="16">
        <f>IF(COUNTIFS($J$2:$J$201, "&lt;"&amp;J125, $L$2:$L$201, "&lt;"&amp;L125)=0, "PARETO", "Sub-optimal")</f>
        <v/>
      </c>
    </row>
    <row r="126" ht="20" customHeight="1">
      <c r="A126" s="10" t="n">
        <v>125</v>
      </c>
      <c r="B126" s="12" t="n">
        <v>6</v>
      </c>
      <c r="C126" s="14" t="n">
        <v>993.8</v>
      </c>
      <c r="D126" s="14">
        <f>B126*C126</f>
        <v/>
      </c>
      <c r="E126" s="13" t="n">
        <v>0.68</v>
      </c>
      <c r="F126" s="13" t="n">
        <v>1.12</v>
      </c>
      <c r="G126" s="11" t="inlineStr">
        <is>
          <t>Concrete</t>
        </is>
      </c>
      <c r="H126" s="14">
        <f>D126*'Parameters &amp; Inputs'!$B$15</f>
        <v/>
      </c>
      <c r="I126" s="21">
        <f>(4*SQRT(C126))*(B126*'Parameters &amp; Inputs'!$B$14)*E126*'Parameters &amp; Inputs'!$B$16</f>
        <v/>
      </c>
      <c r="J126" s="22">
        <f>((H126*IF(G126="Mass Timber",'Parameters &amp; Inputs'!$B$7,'Parameters &amp; Inputs'!$B$6)) + (I126*'Parameters &amp; Inputs'!$B$8))/1000</f>
        <v/>
      </c>
      <c r="K126" s="23">
        <f>MAX('Parameters &amp; Inputs'!$B$13, 'Parameters &amp; Inputs'!$B$9 + (E126*'Parameters &amp; Inputs'!$B$10) - (F126*'Parameters &amp; Inputs'!$B$11) - IF(G126="Concrete",'Parameters &amp; Inputs'!$B$12,0))</f>
        <v/>
      </c>
      <c r="L126" s="22">
        <f>(D126*K126*'Parameters &amp; Inputs'!$B$5*'Parameters &amp; Inputs'!$B$4)/1000</f>
        <v/>
      </c>
      <c r="M126" s="22">
        <f>J126+L126</f>
        <v/>
      </c>
      <c r="N126" s="14">
        <f>(M126*1000)/D126</f>
        <v/>
      </c>
      <c r="O126" s="11">
        <f>IF(COUNTIFS($J$2:$J$201, "&lt;"&amp;J126, $L$2:$L$201, "&lt;"&amp;L126)=0, "PARETO", "Sub-optimal")</f>
        <v/>
      </c>
    </row>
    <row r="127" ht="20" customHeight="1">
      <c r="A127" s="15" t="n">
        <v>126</v>
      </c>
      <c r="B127" s="17" t="n">
        <v>13</v>
      </c>
      <c r="C127" s="19" t="n">
        <v>1139.2</v>
      </c>
      <c r="D127" s="19">
        <f>B127*C127</f>
        <v/>
      </c>
      <c r="E127" s="18" t="n">
        <v>0.57</v>
      </c>
      <c r="F127" s="18" t="n">
        <v>0.55</v>
      </c>
      <c r="G127" s="16" t="inlineStr">
        <is>
          <t>Concrete</t>
        </is>
      </c>
      <c r="H127" s="19">
        <f>D127*'Parameters &amp; Inputs'!$B$15</f>
        <v/>
      </c>
      <c r="I127" s="24">
        <f>(4*SQRT(C127))*(B127*'Parameters &amp; Inputs'!$B$14)*E127*'Parameters &amp; Inputs'!$B$16</f>
        <v/>
      </c>
      <c r="J127" s="25">
        <f>((H127*IF(G127="Mass Timber",'Parameters &amp; Inputs'!$B$7,'Parameters &amp; Inputs'!$B$6)) + (I127*'Parameters &amp; Inputs'!$B$8))/1000</f>
        <v/>
      </c>
      <c r="K127" s="26">
        <f>MAX('Parameters &amp; Inputs'!$B$13, 'Parameters &amp; Inputs'!$B$9 + (E127*'Parameters &amp; Inputs'!$B$10) - (F127*'Parameters &amp; Inputs'!$B$11) - IF(G127="Concrete",'Parameters &amp; Inputs'!$B$12,0))</f>
        <v/>
      </c>
      <c r="L127" s="25">
        <f>(D127*K127*'Parameters &amp; Inputs'!$B$5*'Parameters &amp; Inputs'!$B$4)/1000</f>
        <v/>
      </c>
      <c r="M127" s="25">
        <f>J127+L127</f>
        <v/>
      </c>
      <c r="N127" s="19">
        <f>(M127*1000)/D127</f>
        <v/>
      </c>
      <c r="O127" s="16">
        <f>IF(COUNTIFS($J$2:$J$201, "&lt;"&amp;J127, $L$2:$L$201, "&lt;"&amp;L127)=0, "PARETO", "Sub-optimal")</f>
        <v/>
      </c>
    </row>
    <row r="128" ht="20" customHeight="1">
      <c r="A128" s="10" t="n">
        <v>127</v>
      </c>
      <c r="B128" s="12" t="n">
        <v>13</v>
      </c>
      <c r="C128" s="14" t="n">
        <v>893.2</v>
      </c>
      <c r="D128" s="14">
        <f>B128*C128</f>
        <v/>
      </c>
      <c r="E128" s="13" t="n">
        <v>0.61</v>
      </c>
      <c r="F128" s="13" t="n">
        <v>1.27</v>
      </c>
      <c r="G128" s="11" t="inlineStr">
        <is>
          <t>Mass Timber</t>
        </is>
      </c>
      <c r="H128" s="14">
        <f>D128*'Parameters &amp; Inputs'!$B$15</f>
        <v/>
      </c>
      <c r="I128" s="21">
        <f>(4*SQRT(C128))*(B128*'Parameters &amp; Inputs'!$B$14)*E128*'Parameters &amp; Inputs'!$B$16</f>
        <v/>
      </c>
      <c r="J128" s="22">
        <f>((H128*IF(G128="Mass Timber",'Parameters &amp; Inputs'!$B$7,'Parameters &amp; Inputs'!$B$6)) + (I128*'Parameters &amp; Inputs'!$B$8))/1000</f>
        <v/>
      </c>
      <c r="K128" s="23">
        <f>MAX('Parameters &amp; Inputs'!$B$13, 'Parameters &amp; Inputs'!$B$9 + (E128*'Parameters &amp; Inputs'!$B$10) - (F128*'Parameters &amp; Inputs'!$B$11) - IF(G128="Concrete",'Parameters &amp; Inputs'!$B$12,0))</f>
        <v/>
      </c>
      <c r="L128" s="22">
        <f>(D128*K128*'Parameters &amp; Inputs'!$B$5*'Parameters &amp; Inputs'!$B$4)/1000</f>
        <v/>
      </c>
      <c r="M128" s="22">
        <f>J128+L128</f>
        <v/>
      </c>
      <c r="N128" s="14">
        <f>(M128*1000)/D128</f>
        <v/>
      </c>
      <c r="O128" s="11">
        <f>IF(COUNTIFS($J$2:$J$201, "&lt;"&amp;J128, $L$2:$L$201, "&lt;"&amp;L128)=0, "PARETO", "Sub-optimal")</f>
        <v/>
      </c>
    </row>
    <row r="129" ht="20" customHeight="1">
      <c r="A129" s="15" t="n">
        <v>128</v>
      </c>
      <c r="B129" s="17" t="n">
        <v>7</v>
      </c>
      <c r="C129" s="19" t="n">
        <v>1113.2</v>
      </c>
      <c r="D129" s="19">
        <f>B129*C129</f>
        <v/>
      </c>
      <c r="E129" s="18" t="n">
        <v>0.52</v>
      </c>
      <c r="F129" s="18" t="n">
        <v>0.36</v>
      </c>
      <c r="G129" s="16" t="inlineStr">
        <is>
          <t>Concrete</t>
        </is>
      </c>
      <c r="H129" s="19">
        <f>D129*'Parameters &amp; Inputs'!$B$15</f>
        <v/>
      </c>
      <c r="I129" s="24">
        <f>(4*SQRT(C129))*(B129*'Parameters &amp; Inputs'!$B$14)*E129*'Parameters &amp; Inputs'!$B$16</f>
        <v/>
      </c>
      <c r="J129" s="25">
        <f>((H129*IF(G129="Mass Timber",'Parameters &amp; Inputs'!$B$7,'Parameters &amp; Inputs'!$B$6)) + (I129*'Parameters &amp; Inputs'!$B$8))/1000</f>
        <v/>
      </c>
      <c r="K129" s="26">
        <f>MAX('Parameters &amp; Inputs'!$B$13, 'Parameters &amp; Inputs'!$B$9 + (E129*'Parameters &amp; Inputs'!$B$10) - (F129*'Parameters &amp; Inputs'!$B$11) - IF(G129="Concrete",'Parameters &amp; Inputs'!$B$12,0))</f>
        <v/>
      </c>
      <c r="L129" s="25">
        <f>(D129*K129*'Parameters &amp; Inputs'!$B$5*'Parameters &amp; Inputs'!$B$4)/1000</f>
        <v/>
      </c>
      <c r="M129" s="25">
        <f>J129+L129</f>
        <v/>
      </c>
      <c r="N129" s="19">
        <f>(M129*1000)/D129</f>
        <v/>
      </c>
      <c r="O129" s="16">
        <f>IF(COUNTIFS($J$2:$J$201, "&lt;"&amp;J129, $L$2:$L$201, "&lt;"&amp;L129)=0, "PARETO", "Sub-optimal")</f>
        <v/>
      </c>
    </row>
    <row r="130" ht="20" customHeight="1">
      <c r="A130" s="10" t="n">
        <v>129</v>
      </c>
      <c r="B130" s="12" t="n">
        <v>10</v>
      </c>
      <c r="C130" s="14" t="n">
        <v>927.6</v>
      </c>
      <c r="D130" s="14">
        <f>B130*C130</f>
        <v/>
      </c>
      <c r="E130" s="13" t="n">
        <v>0.54</v>
      </c>
      <c r="F130" s="13" t="n">
        <v>1.26</v>
      </c>
      <c r="G130" s="11" t="inlineStr">
        <is>
          <t>Concrete</t>
        </is>
      </c>
      <c r="H130" s="14">
        <f>D130*'Parameters &amp; Inputs'!$B$15</f>
        <v/>
      </c>
      <c r="I130" s="21">
        <f>(4*SQRT(C130))*(B130*'Parameters &amp; Inputs'!$B$14)*E130*'Parameters &amp; Inputs'!$B$16</f>
        <v/>
      </c>
      <c r="J130" s="22">
        <f>((H130*IF(G130="Mass Timber",'Parameters &amp; Inputs'!$B$7,'Parameters &amp; Inputs'!$B$6)) + (I130*'Parameters &amp; Inputs'!$B$8))/1000</f>
        <v/>
      </c>
      <c r="K130" s="23">
        <f>MAX('Parameters &amp; Inputs'!$B$13, 'Parameters &amp; Inputs'!$B$9 + (E130*'Parameters &amp; Inputs'!$B$10) - (F130*'Parameters &amp; Inputs'!$B$11) - IF(G130="Concrete",'Parameters &amp; Inputs'!$B$12,0))</f>
        <v/>
      </c>
      <c r="L130" s="22">
        <f>(D130*K130*'Parameters &amp; Inputs'!$B$5*'Parameters &amp; Inputs'!$B$4)/1000</f>
        <v/>
      </c>
      <c r="M130" s="22">
        <f>J130+L130</f>
        <v/>
      </c>
      <c r="N130" s="14">
        <f>(M130*1000)/D130</f>
        <v/>
      </c>
      <c r="O130" s="11">
        <f>IF(COUNTIFS($J$2:$J$201, "&lt;"&amp;J130, $L$2:$L$201, "&lt;"&amp;L130)=0, "PARETO", "Sub-optimal")</f>
        <v/>
      </c>
    </row>
    <row r="131" ht="20" customHeight="1">
      <c r="A131" s="15" t="n">
        <v>130</v>
      </c>
      <c r="B131" s="17" t="n">
        <v>14</v>
      </c>
      <c r="C131" s="19" t="n">
        <v>1423.4</v>
      </c>
      <c r="D131" s="19">
        <f>B131*C131</f>
        <v/>
      </c>
      <c r="E131" s="18" t="n">
        <v>0.5600000000000001</v>
      </c>
      <c r="F131" s="18" t="n">
        <v>1.02</v>
      </c>
      <c r="G131" s="16" t="inlineStr">
        <is>
          <t>Mass Timber</t>
        </is>
      </c>
      <c r="H131" s="19">
        <f>D131*'Parameters &amp; Inputs'!$B$15</f>
        <v/>
      </c>
      <c r="I131" s="24">
        <f>(4*SQRT(C131))*(B131*'Parameters &amp; Inputs'!$B$14)*E131*'Parameters &amp; Inputs'!$B$16</f>
        <v/>
      </c>
      <c r="J131" s="25">
        <f>((H131*IF(G131="Mass Timber",'Parameters &amp; Inputs'!$B$7,'Parameters &amp; Inputs'!$B$6)) + (I131*'Parameters &amp; Inputs'!$B$8))/1000</f>
        <v/>
      </c>
      <c r="K131" s="26">
        <f>MAX('Parameters &amp; Inputs'!$B$13, 'Parameters &amp; Inputs'!$B$9 + (E131*'Parameters &amp; Inputs'!$B$10) - (F131*'Parameters &amp; Inputs'!$B$11) - IF(G131="Concrete",'Parameters &amp; Inputs'!$B$12,0))</f>
        <v/>
      </c>
      <c r="L131" s="25">
        <f>(D131*K131*'Parameters &amp; Inputs'!$B$5*'Parameters &amp; Inputs'!$B$4)/1000</f>
        <v/>
      </c>
      <c r="M131" s="25">
        <f>J131+L131</f>
        <v/>
      </c>
      <c r="N131" s="19">
        <f>(M131*1000)/D131</f>
        <v/>
      </c>
      <c r="O131" s="16">
        <f>IF(COUNTIFS($J$2:$J$201, "&lt;"&amp;J131, $L$2:$L$201, "&lt;"&amp;L131)=0, "PARETO", "Sub-optimal")</f>
        <v/>
      </c>
    </row>
    <row r="132" ht="20" customHeight="1">
      <c r="A132" s="10" t="n">
        <v>131</v>
      </c>
      <c r="B132" s="12" t="n">
        <v>7</v>
      </c>
      <c r="C132" s="14" t="n">
        <v>860.8</v>
      </c>
      <c r="D132" s="14">
        <f>B132*C132</f>
        <v/>
      </c>
      <c r="E132" s="13" t="n">
        <v>0.52</v>
      </c>
      <c r="F132" s="13" t="n">
        <v>0.88</v>
      </c>
      <c r="G132" s="11" t="inlineStr">
        <is>
          <t>Mass Timber</t>
        </is>
      </c>
      <c r="H132" s="14">
        <f>D132*'Parameters &amp; Inputs'!$B$15</f>
        <v/>
      </c>
      <c r="I132" s="21">
        <f>(4*SQRT(C132))*(B132*'Parameters &amp; Inputs'!$B$14)*E132*'Parameters &amp; Inputs'!$B$16</f>
        <v/>
      </c>
      <c r="J132" s="22">
        <f>((H132*IF(G132="Mass Timber",'Parameters &amp; Inputs'!$B$7,'Parameters &amp; Inputs'!$B$6)) + (I132*'Parameters &amp; Inputs'!$B$8))/1000</f>
        <v/>
      </c>
      <c r="K132" s="23">
        <f>MAX('Parameters &amp; Inputs'!$B$13, 'Parameters &amp; Inputs'!$B$9 + (E132*'Parameters &amp; Inputs'!$B$10) - (F132*'Parameters &amp; Inputs'!$B$11) - IF(G132="Concrete",'Parameters &amp; Inputs'!$B$12,0))</f>
        <v/>
      </c>
      <c r="L132" s="22">
        <f>(D132*K132*'Parameters &amp; Inputs'!$B$5*'Parameters &amp; Inputs'!$B$4)/1000</f>
        <v/>
      </c>
      <c r="M132" s="22">
        <f>J132+L132</f>
        <v/>
      </c>
      <c r="N132" s="14">
        <f>(M132*1000)/D132</f>
        <v/>
      </c>
      <c r="O132" s="11">
        <f>IF(COUNTIFS($J$2:$J$201, "&lt;"&amp;J132, $L$2:$L$201, "&lt;"&amp;L132)=0, "PARETO", "Sub-optimal")</f>
        <v/>
      </c>
    </row>
    <row r="133" ht="20" customHeight="1">
      <c r="A133" s="15" t="n">
        <v>132</v>
      </c>
      <c r="B133" s="17" t="n">
        <v>6</v>
      </c>
      <c r="C133" s="19" t="n">
        <v>1195.1</v>
      </c>
      <c r="D133" s="19">
        <f>B133*C133</f>
        <v/>
      </c>
      <c r="E133" s="18" t="n">
        <v>0.43</v>
      </c>
      <c r="F133" s="18" t="n">
        <v>0.51</v>
      </c>
      <c r="G133" s="16" t="inlineStr">
        <is>
          <t>Mass Timber</t>
        </is>
      </c>
      <c r="H133" s="19">
        <f>D133*'Parameters &amp; Inputs'!$B$15</f>
        <v/>
      </c>
      <c r="I133" s="24">
        <f>(4*SQRT(C133))*(B133*'Parameters &amp; Inputs'!$B$14)*E133*'Parameters &amp; Inputs'!$B$16</f>
        <v/>
      </c>
      <c r="J133" s="25">
        <f>((H133*IF(G133="Mass Timber",'Parameters &amp; Inputs'!$B$7,'Parameters &amp; Inputs'!$B$6)) + (I133*'Parameters &amp; Inputs'!$B$8))/1000</f>
        <v/>
      </c>
      <c r="K133" s="26">
        <f>MAX('Parameters &amp; Inputs'!$B$13, 'Parameters &amp; Inputs'!$B$9 + (E133*'Parameters &amp; Inputs'!$B$10) - (F133*'Parameters &amp; Inputs'!$B$11) - IF(G133="Concrete",'Parameters &amp; Inputs'!$B$12,0))</f>
        <v/>
      </c>
      <c r="L133" s="25">
        <f>(D133*K133*'Parameters &amp; Inputs'!$B$5*'Parameters &amp; Inputs'!$B$4)/1000</f>
        <v/>
      </c>
      <c r="M133" s="25">
        <f>J133+L133</f>
        <v/>
      </c>
      <c r="N133" s="19">
        <f>(M133*1000)/D133</f>
        <v/>
      </c>
      <c r="O133" s="16">
        <f>IF(COUNTIFS($J$2:$J$201, "&lt;"&amp;J133, $L$2:$L$201, "&lt;"&amp;L133)=0, "PARETO", "Sub-optimal")</f>
        <v/>
      </c>
    </row>
    <row r="134" ht="20" customHeight="1">
      <c r="A134" s="10" t="n">
        <v>133</v>
      </c>
      <c r="B134" s="12" t="n">
        <v>7</v>
      </c>
      <c r="C134" s="14" t="n">
        <v>971</v>
      </c>
      <c r="D134" s="14">
        <f>B134*C134</f>
        <v/>
      </c>
      <c r="E134" s="13" t="n">
        <v>0.5</v>
      </c>
      <c r="F134" s="13" t="n">
        <v>0.5</v>
      </c>
      <c r="G134" s="11" t="inlineStr">
        <is>
          <t>Mass Timber</t>
        </is>
      </c>
      <c r="H134" s="14">
        <f>D134*'Parameters &amp; Inputs'!$B$15</f>
        <v/>
      </c>
      <c r="I134" s="21">
        <f>(4*SQRT(C134))*(B134*'Parameters &amp; Inputs'!$B$14)*E134*'Parameters &amp; Inputs'!$B$16</f>
        <v/>
      </c>
      <c r="J134" s="22">
        <f>((H134*IF(G134="Mass Timber",'Parameters &amp; Inputs'!$B$7,'Parameters &amp; Inputs'!$B$6)) + (I134*'Parameters &amp; Inputs'!$B$8))/1000</f>
        <v/>
      </c>
      <c r="K134" s="23">
        <f>MAX('Parameters &amp; Inputs'!$B$13, 'Parameters &amp; Inputs'!$B$9 + (E134*'Parameters &amp; Inputs'!$B$10) - (F134*'Parameters &amp; Inputs'!$B$11) - IF(G134="Concrete",'Parameters &amp; Inputs'!$B$12,0))</f>
        <v/>
      </c>
      <c r="L134" s="22">
        <f>(D134*K134*'Parameters &amp; Inputs'!$B$5*'Parameters &amp; Inputs'!$B$4)/1000</f>
        <v/>
      </c>
      <c r="M134" s="22">
        <f>J134+L134</f>
        <v/>
      </c>
      <c r="N134" s="14">
        <f>(M134*1000)/D134</f>
        <v/>
      </c>
      <c r="O134" s="11">
        <f>IF(COUNTIFS($J$2:$J$201, "&lt;"&amp;J134, $L$2:$L$201, "&lt;"&amp;L134)=0, "PARETO", "Sub-optimal")</f>
        <v/>
      </c>
    </row>
    <row r="135" ht="20" customHeight="1">
      <c r="A135" s="15" t="n">
        <v>134</v>
      </c>
      <c r="B135" s="17" t="n">
        <v>10</v>
      </c>
      <c r="C135" s="19" t="n">
        <v>871.2</v>
      </c>
      <c r="D135" s="19">
        <f>B135*C135</f>
        <v/>
      </c>
      <c r="E135" s="18" t="n">
        <v>0.29</v>
      </c>
      <c r="F135" s="18" t="n">
        <v>0.37</v>
      </c>
      <c r="G135" s="16" t="inlineStr">
        <is>
          <t>Concrete</t>
        </is>
      </c>
      <c r="H135" s="19">
        <f>D135*'Parameters &amp; Inputs'!$B$15</f>
        <v/>
      </c>
      <c r="I135" s="24">
        <f>(4*SQRT(C135))*(B135*'Parameters &amp; Inputs'!$B$14)*E135*'Parameters &amp; Inputs'!$B$16</f>
        <v/>
      </c>
      <c r="J135" s="25">
        <f>((H135*IF(G135="Mass Timber",'Parameters &amp; Inputs'!$B$7,'Parameters &amp; Inputs'!$B$6)) + (I135*'Parameters &amp; Inputs'!$B$8))/1000</f>
        <v/>
      </c>
      <c r="K135" s="26">
        <f>MAX('Parameters &amp; Inputs'!$B$13, 'Parameters &amp; Inputs'!$B$9 + (E135*'Parameters &amp; Inputs'!$B$10) - (F135*'Parameters &amp; Inputs'!$B$11) - IF(G135="Concrete",'Parameters &amp; Inputs'!$B$12,0))</f>
        <v/>
      </c>
      <c r="L135" s="25">
        <f>(D135*K135*'Parameters &amp; Inputs'!$B$5*'Parameters &amp; Inputs'!$B$4)/1000</f>
        <v/>
      </c>
      <c r="M135" s="25">
        <f>J135+L135</f>
        <v/>
      </c>
      <c r="N135" s="19">
        <f>(M135*1000)/D135</f>
        <v/>
      </c>
      <c r="O135" s="16">
        <f>IF(COUNTIFS($J$2:$J$201, "&lt;"&amp;J135, $L$2:$L$201, "&lt;"&amp;L135)=0, "PARETO", "Sub-optimal")</f>
        <v/>
      </c>
    </row>
    <row r="136" ht="20" customHeight="1">
      <c r="A136" s="10" t="n">
        <v>135</v>
      </c>
      <c r="B136" s="12" t="n">
        <v>13</v>
      </c>
      <c r="C136" s="14" t="n">
        <v>1427.7</v>
      </c>
      <c r="D136" s="14">
        <f>B136*C136</f>
        <v/>
      </c>
      <c r="E136" s="13" t="n">
        <v>0.25</v>
      </c>
      <c r="F136" s="13" t="n">
        <v>0.79</v>
      </c>
      <c r="G136" s="11" t="inlineStr">
        <is>
          <t>Concrete</t>
        </is>
      </c>
      <c r="H136" s="14">
        <f>D136*'Parameters &amp; Inputs'!$B$15</f>
        <v/>
      </c>
      <c r="I136" s="21">
        <f>(4*SQRT(C136))*(B136*'Parameters &amp; Inputs'!$B$14)*E136*'Parameters &amp; Inputs'!$B$16</f>
        <v/>
      </c>
      <c r="J136" s="22">
        <f>((H136*IF(G136="Mass Timber",'Parameters &amp; Inputs'!$B$7,'Parameters &amp; Inputs'!$B$6)) + (I136*'Parameters &amp; Inputs'!$B$8))/1000</f>
        <v/>
      </c>
      <c r="K136" s="23">
        <f>MAX('Parameters &amp; Inputs'!$B$13, 'Parameters &amp; Inputs'!$B$9 + (E136*'Parameters &amp; Inputs'!$B$10) - (F136*'Parameters &amp; Inputs'!$B$11) - IF(G136="Concrete",'Parameters &amp; Inputs'!$B$12,0))</f>
        <v/>
      </c>
      <c r="L136" s="22">
        <f>(D136*K136*'Parameters &amp; Inputs'!$B$5*'Parameters &amp; Inputs'!$B$4)/1000</f>
        <v/>
      </c>
      <c r="M136" s="22">
        <f>J136+L136</f>
        <v/>
      </c>
      <c r="N136" s="14">
        <f>(M136*1000)/D136</f>
        <v/>
      </c>
      <c r="O136" s="11">
        <f>IF(COUNTIFS($J$2:$J$201, "&lt;"&amp;J136, $L$2:$L$201, "&lt;"&amp;L136)=0, "PARETO", "Sub-optimal")</f>
        <v/>
      </c>
    </row>
    <row r="137" ht="20" customHeight="1">
      <c r="A137" s="15" t="n">
        <v>136</v>
      </c>
      <c r="B137" s="17" t="n">
        <v>9</v>
      </c>
      <c r="C137" s="19" t="n">
        <v>1498.1</v>
      </c>
      <c r="D137" s="19">
        <f>B137*C137</f>
        <v/>
      </c>
      <c r="E137" s="18" t="n">
        <v>0.74</v>
      </c>
      <c r="F137" s="18" t="n">
        <v>0.86</v>
      </c>
      <c r="G137" s="16" t="inlineStr">
        <is>
          <t>Mass Timber</t>
        </is>
      </c>
      <c r="H137" s="19">
        <f>D137*'Parameters &amp; Inputs'!$B$15</f>
        <v/>
      </c>
      <c r="I137" s="24">
        <f>(4*SQRT(C137))*(B137*'Parameters &amp; Inputs'!$B$14)*E137*'Parameters &amp; Inputs'!$B$16</f>
        <v/>
      </c>
      <c r="J137" s="25">
        <f>((H137*IF(G137="Mass Timber",'Parameters &amp; Inputs'!$B$7,'Parameters &amp; Inputs'!$B$6)) + (I137*'Parameters &amp; Inputs'!$B$8))/1000</f>
        <v/>
      </c>
      <c r="K137" s="26">
        <f>MAX('Parameters &amp; Inputs'!$B$13, 'Parameters &amp; Inputs'!$B$9 + (E137*'Parameters &amp; Inputs'!$B$10) - (F137*'Parameters &amp; Inputs'!$B$11) - IF(G137="Concrete",'Parameters &amp; Inputs'!$B$12,0))</f>
        <v/>
      </c>
      <c r="L137" s="25">
        <f>(D137*K137*'Parameters &amp; Inputs'!$B$5*'Parameters &amp; Inputs'!$B$4)/1000</f>
        <v/>
      </c>
      <c r="M137" s="25">
        <f>J137+L137</f>
        <v/>
      </c>
      <c r="N137" s="19">
        <f>(M137*1000)/D137</f>
        <v/>
      </c>
      <c r="O137" s="16">
        <f>IF(COUNTIFS($J$2:$J$201, "&lt;"&amp;J137, $L$2:$L$201, "&lt;"&amp;L137)=0, "PARETO", "Sub-optimal")</f>
        <v/>
      </c>
    </row>
    <row r="138" ht="20" customHeight="1">
      <c r="A138" s="10" t="n">
        <v>137</v>
      </c>
      <c r="B138" s="12" t="n">
        <v>11</v>
      </c>
      <c r="C138" s="14" t="n">
        <v>1482.5</v>
      </c>
      <c r="D138" s="14">
        <f>B138*C138</f>
        <v/>
      </c>
      <c r="E138" s="13" t="n">
        <v>0.49</v>
      </c>
      <c r="F138" s="13" t="n">
        <v>1.08</v>
      </c>
      <c r="G138" s="11" t="inlineStr">
        <is>
          <t>Mass Timber</t>
        </is>
      </c>
      <c r="H138" s="14">
        <f>D138*'Parameters &amp; Inputs'!$B$15</f>
        <v/>
      </c>
      <c r="I138" s="21">
        <f>(4*SQRT(C138))*(B138*'Parameters &amp; Inputs'!$B$14)*E138*'Parameters &amp; Inputs'!$B$16</f>
        <v/>
      </c>
      <c r="J138" s="22">
        <f>((H138*IF(G138="Mass Timber",'Parameters &amp; Inputs'!$B$7,'Parameters &amp; Inputs'!$B$6)) + (I138*'Parameters &amp; Inputs'!$B$8))/1000</f>
        <v/>
      </c>
      <c r="K138" s="23">
        <f>MAX('Parameters &amp; Inputs'!$B$13, 'Parameters &amp; Inputs'!$B$9 + (E138*'Parameters &amp; Inputs'!$B$10) - (F138*'Parameters &amp; Inputs'!$B$11) - IF(G138="Concrete",'Parameters &amp; Inputs'!$B$12,0))</f>
        <v/>
      </c>
      <c r="L138" s="22">
        <f>(D138*K138*'Parameters &amp; Inputs'!$B$5*'Parameters &amp; Inputs'!$B$4)/1000</f>
        <v/>
      </c>
      <c r="M138" s="22">
        <f>J138+L138</f>
        <v/>
      </c>
      <c r="N138" s="14">
        <f>(M138*1000)/D138</f>
        <v/>
      </c>
      <c r="O138" s="11">
        <f>IF(COUNTIFS($J$2:$J$201, "&lt;"&amp;J138, $L$2:$L$201, "&lt;"&amp;L138)=0, "PARETO", "Sub-optimal")</f>
        <v/>
      </c>
    </row>
    <row r="139" ht="20" customHeight="1">
      <c r="A139" s="15" t="n">
        <v>138</v>
      </c>
      <c r="B139" s="17" t="n">
        <v>7</v>
      </c>
      <c r="C139" s="19" t="n">
        <v>1189.7</v>
      </c>
      <c r="D139" s="19">
        <f>B139*C139</f>
        <v/>
      </c>
      <c r="E139" s="18" t="n">
        <v>0.54</v>
      </c>
      <c r="F139" s="18" t="n">
        <v>0.42</v>
      </c>
      <c r="G139" s="16" t="inlineStr">
        <is>
          <t>Mass Timber</t>
        </is>
      </c>
      <c r="H139" s="19">
        <f>D139*'Parameters &amp; Inputs'!$B$15</f>
        <v/>
      </c>
      <c r="I139" s="24">
        <f>(4*SQRT(C139))*(B139*'Parameters &amp; Inputs'!$B$14)*E139*'Parameters &amp; Inputs'!$B$16</f>
        <v/>
      </c>
      <c r="J139" s="25">
        <f>((H139*IF(G139="Mass Timber",'Parameters &amp; Inputs'!$B$7,'Parameters &amp; Inputs'!$B$6)) + (I139*'Parameters &amp; Inputs'!$B$8))/1000</f>
        <v/>
      </c>
      <c r="K139" s="26">
        <f>MAX('Parameters &amp; Inputs'!$B$13, 'Parameters &amp; Inputs'!$B$9 + (E139*'Parameters &amp; Inputs'!$B$10) - (F139*'Parameters &amp; Inputs'!$B$11) - IF(G139="Concrete",'Parameters &amp; Inputs'!$B$12,0))</f>
        <v/>
      </c>
      <c r="L139" s="25">
        <f>(D139*K139*'Parameters &amp; Inputs'!$B$5*'Parameters &amp; Inputs'!$B$4)/1000</f>
        <v/>
      </c>
      <c r="M139" s="25">
        <f>J139+L139</f>
        <v/>
      </c>
      <c r="N139" s="19">
        <f>(M139*1000)/D139</f>
        <v/>
      </c>
      <c r="O139" s="16">
        <f>IF(COUNTIFS($J$2:$J$201, "&lt;"&amp;J139, $L$2:$L$201, "&lt;"&amp;L139)=0, "PARETO", "Sub-optimal")</f>
        <v/>
      </c>
    </row>
    <row r="140" ht="20" customHeight="1">
      <c r="A140" s="10" t="n">
        <v>139</v>
      </c>
      <c r="B140" s="12" t="n">
        <v>11</v>
      </c>
      <c r="C140" s="14" t="n">
        <v>1477.6</v>
      </c>
      <c r="D140" s="14">
        <f>B140*C140</f>
        <v/>
      </c>
      <c r="E140" s="13" t="n">
        <v>0.63</v>
      </c>
      <c r="F140" s="13" t="n">
        <v>0.3</v>
      </c>
      <c r="G140" s="11" t="inlineStr">
        <is>
          <t>Mass Timber</t>
        </is>
      </c>
      <c r="H140" s="14">
        <f>D140*'Parameters &amp; Inputs'!$B$15</f>
        <v/>
      </c>
      <c r="I140" s="21">
        <f>(4*SQRT(C140))*(B140*'Parameters &amp; Inputs'!$B$14)*E140*'Parameters &amp; Inputs'!$B$16</f>
        <v/>
      </c>
      <c r="J140" s="22">
        <f>((H140*IF(G140="Mass Timber",'Parameters &amp; Inputs'!$B$7,'Parameters &amp; Inputs'!$B$6)) + (I140*'Parameters &amp; Inputs'!$B$8))/1000</f>
        <v/>
      </c>
      <c r="K140" s="23">
        <f>MAX('Parameters &amp; Inputs'!$B$13, 'Parameters &amp; Inputs'!$B$9 + (E140*'Parameters &amp; Inputs'!$B$10) - (F140*'Parameters &amp; Inputs'!$B$11) - IF(G140="Concrete",'Parameters &amp; Inputs'!$B$12,0))</f>
        <v/>
      </c>
      <c r="L140" s="22">
        <f>(D140*K140*'Parameters &amp; Inputs'!$B$5*'Parameters &amp; Inputs'!$B$4)/1000</f>
        <v/>
      </c>
      <c r="M140" s="22">
        <f>J140+L140</f>
        <v/>
      </c>
      <c r="N140" s="14">
        <f>(M140*1000)/D140</f>
        <v/>
      </c>
      <c r="O140" s="11">
        <f>IF(COUNTIFS($J$2:$J$201, "&lt;"&amp;J140, $L$2:$L$201, "&lt;"&amp;L140)=0, "PARETO", "Sub-optimal")</f>
        <v/>
      </c>
    </row>
    <row r="141" ht="20" customHeight="1">
      <c r="A141" s="15" t="n">
        <v>140</v>
      </c>
      <c r="B141" s="17" t="n">
        <v>6</v>
      </c>
      <c r="C141" s="19" t="n">
        <v>1227.4</v>
      </c>
      <c r="D141" s="19">
        <f>B141*C141</f>
        <v/>
      </c>
      <c r="E141" s="18" t="n">
        <v>0.37</v>
      </c>
      <c r="F141" s="18" t="n">
        <v>0.87</v>
      </c>
      <c r="G141" s="16" t="inlineStr">
        <is>
          <t>Concrete</t>
        </is>
      </c>
      <c r="H141" s="19">
        <f>D141*'Parameters &amp; Inputs'!$B$15</f>
        <v/>
      </c>
      <c r="I141" s="24">
        <f>(4*SQRT(C141))*(B141*'Parameters &amp; Inputs'!$B$14)*E141*'Parameters &amp; Inputs'!$B$16</f>
        <v/>
      </c>
      <c r="J141" s="25">
        <f>((H141*IF(G141="Mass Timber",'Parameters &amp; Inputs'!$B$7,'Parameters &amp; Inputs'!$B$6)) + (I141*'Parameters &amp; Inputs'!$B$8))/1000</f>
        <v/>
      </c>
      <c r="K141" s="26">
        <f>MAX('Parameters &amp; Inputs'!$B$13, 'Parameters &amp; Inputs'!$B$9 + (E141*'Parameters &amp; Inputs'!$B$10) - (F141*'Parameters &amp; Inputs'!$B$11) - IF(G141="Concrete",'Parameters &amp; Inputs'!$B$12,0))</f>
        <v/>
      </c>
      <c r="L141" s="25">
        <f>(D141*K141*'Parameters &amp; Inputs'!$B$5*'Parameters &amp; Inputs'!$B$4)/1000</f>
        <v/>
      </c>
      <c r="M141" s="25">
        <f>J141+L141</f>
        <v/>
      </c>
      <c r="N141" s="19">
        <f>(M141*1000)/D141</f>
        <v/>
      </c>
      <c r="O141" s="16">
        <f>IF(COUNTIFS($J$2:$J$201, "&lt;"&amp;J141, $L$2:$L$201, "&lt;"&amp;L141)=0, "PARETO", "Sub-optimal")</f>
        <v/>
      </c>
    </row>
    <row r="142" ht="20" customHeight="1">
      <c r="A142" s="10" t="n">
        <v>141</v>
      </c>
      <c r="B142" s="12" t="n">
        <v>9</v>
      </c>
      <c r="C142" s="14" t="n">
        <v>1024.4</v>
      </c>
      <c r="D142" s="14">
        <f>B142*C142</f>
        <v/>
      </c>
      <c r="E142" s="13" t="n">
        <v>0.5600000000000001</v>
      </c>
      <c r="F142" s="13" t="n">
        <v>0.55</v>
      </c>
      <c r="G142" s="11" t="inlineStr">
        <is>
          <t>Concrete</t>
        </is>
      </c>
      <c r="H142" s="14">
        <f>D142*'Parameters &amp; Inputs'!$B$15</f>
        <v/>
      </c>
      <c r="I142" s="21">
        <f>(4*SQRT(C142))*(B142*'Parameters &amp; Inputs'!$B$14)*E142*'Parameters &amp; Inputs'!$B$16</f>
        <v/>
      </c>
      <c r="J142" s="22">
        <f>((H142*IF(G142="Mass Timber",'Parameters &amp; Inputs'!$B$7,'Parameters &amp; Inputs'!$B$6)) + (I142*'Parameters &amp; Inputs'!$B$8))/1000</f>
        <v/>
      </c>
      <c r="K142" s="23">
        <f>MAX('Parameters &amp; Inputs'!$B$13, 'Parameters &amp; Inputs'!$B$9 + (E142*'Parameters &amp; Inputs'!$B$10) - (F142*'Parameters &amp; Inputs'!$B$11) - IF(G142="Concrete",'Parameters &amp; Inputs'!$B$12,0))</f>
        <v/>
      </c>
      <c r="L142" s="22">
        <f>(D142*K142*'Parameters &amp; Inputs'!$B$5*'Parameters &amp; Inputs'!$B$4)/1000</f>
        <v/>
      </c>
      <c r="M142" s="22">
        <f>J142+L142</f>
        <v/>
      </c>
      <c r="N142" s="14">
        <f>(M142*1000)/D142</f>
        <v/>
      </c>
      <c r="O142" s="11">
        <f>IF(COUNTIFS($J$2:$J$201, "&lt;"&amp;J142, $L$2:$L$201, "&lt;"&amp;L142)=0, "PARETO", "Sub-optimal")</f>
        <v/>
      </c>
    </row>
    <row r="143" ht="20" customHeight="1">
      <c r="A143" s="15" t="n">
        <v>142</v>
      </c>
      <c r="B143" s="17" t="n">
        <v>10</v>
      </c>
      <c r="C143" s="19" t="n">
        <v>844.4</v>
      </c>
      <c r="D143" s="19">
        <f>B143*C143</f>
        <v/>
      </c>
      <c r="E143" s="18" t="n">
        <v>0.79</v>
      </c>
      <c r="F143" s="18" t="n">
        <v>0.48</v>
      </c>
      <c r="G143" s="16" t="inlineStr">
        <is>
          <t>Mass Timber</t>
        </is>
      </c>
      <c r="H143" s="19">
        <f>D143*'Parameters &amp; Inputs'!$B$15</f>
        <v/>
      </c>
      <c r="I143" s="24">
        <f>(4*SQRT(C143))*(B143*'Parameters &amp; Inputs'!$B$14)*E143*'Parameters &amp; Inputs'!$B$16</f>
        <v/>
      </c>
      <c r="J143" s="25">
        <f>((H143*IF(G143="Mass Timber",'Parameters &amp; Inputs'!$B$7,'Parameters &amp; Inputs'!$B$6)) + (I143*'Parameters &amp; Inputs'!$B$8))/1000</f>
        <v/>
      </c>
      <c r="K143" s="26">
        <f>MAX('Parameters &amp; Inputs'!$B$13, 'Parameters &amp; Inputs'!$B$9 + (E143*'Parameters &amp; Inputs'!$B$10) - (F143*'Parameters &amp; Inputs'!$B$11) - IF(G143="Concrete",'Parameters &amp; Inputs'!$B$12,0))</f>
        <v/>
      </c>
      <c r="L143" s="25">
        <f>(D143*K143*'Parameters &amp; Inputs'!$B$5*'Parameters &amp; Inputs'!$B$4)/1000</f>
        <v/>
      </c>
      <c r="M143" s="25">
        <f>J143+L143</f>
        <v/>
      </c>
      <c r="N143" s="19">
        <f>(M143*1000)/D143</f>
        <v/>
      </c>
      <c r="O143" s="16">
        <f>IF(COUNTIFS($J$2:$J$201, "&lt;"&amp;J143, $L$2:$L$201, "&lt;"&amp;L143)=0, "PARETO", "Sub-optimal")</f>
        <v/>
      </c>
    </row>
    <row r="144" ht="20" customHeight="1">
      <c r="A144" s="10" t="n">
        <v>143</v>
      </c>
      <c r="B144" s="12" t="n">
        <v>6</v>
      </c>
      <c r="C144" s="14" t="n">
        <v>897.2</v>
      </c>
      <c r="D144" s="14">
        <f>B144*C144</f>
        <v/>
      </c>
      <c r="E144" s="13" t="n">
        <v>0.2</v>
      </c>
      <c r="F144" s="13" t="n">
        <v>0.18</v>
      </c>
      <c r="G144" s="11" t="inlineStr">
        <is>
          <t>Concrete</t>
        </is>
      </c>
      <c r="H144" s="14">
        <f>D144*'Parameters &amp; Inputs'!$B$15</f>
        <v/>
      </c>
      <c r="I144" s="21">
        <f>(4*SQRT(C144))*(B144*'Parameters &amp; Inputs'!$B$14)*E144*'Parameters &amp; Inputs'!$B$16</f>
        <v/>
      </c>
      <c r="J144" s="22">
        <f>((H144*IF(G144="Mass Timber",'Parameters &amp; Inputs'!$B$7,'Parameters &amp; Inputs'!$B$6)) + (I144*'Parameters &amp; Inputs'!$B$8))/1000</f>
        <v/>
      </c>
      <c r="K144" s="23">
        <f>MAX('Parameters &amp; Inputs'!$B$13, 'Parameters &amp; Inputs'!$B$9 + (E144*'Parameters &amp; Inputs'!$B$10) - (F144*'Parameters &amp; Inputs'!$B$11) - IF(G144="Concrete",'Parameters &amp; Inputs'!$B$12,0))</f>
        <v/>
      </c>
      <c r="L144" s="22">
        <f>(D144*K144*'Parameters &amp; Inputs'!$B$5*'Parameters &amp; Inputs'!$B$4)/1000</f>
        <v/>
      </c>
      <c r="M144" s="22">
        <f>J144+L144</f>
        <v/>
      </c>
      <c r="N144" s="14">
        <f>(M144*1000)/D144</f>
        <v/>
      </c>
      <c r="O144" s="11">
        <f>IF(COUNTIFS($J$2:$J$201, "&lt;"&amp;J144, $L$2:$L$201, "&lt;"&amp;L144)=0, "PARETO", "Sub-optimal")</f>
        <v/>
      </c>
    </row>
    <row r="145" ht="20" customHeight="1">
      <c r="A145" s="15" t="n">
        <v>144</v>
      </c>
      <c r="B145" s="17" t="n">
        <v>11</v>
      </c>
      <c r="C145" s="19" t="n">
        <v>1088.3</v>
      </c>
      <c r="D145" s="19">
        <f>B145*C145</f>
        <v/>
      </c>
      <c r="E145" s="18" t="n">
        <v>0.41</v>
      </c>
      <c r="F145" s="18" t="n">
        <v>1.39</v>
      </c>
      <c r="G145" s="16" t="inlineStr">
        <is>
          <t>Mass Timber</t>
        </is>
      </c>
      <c r="H145" s="19">
        <f>D145*'Parameters &amp; Inputs'!$B$15</f>
        <v/>
      </c>
      <c r="I145" s="24">
        <f>(4*SQRT(C145))*(B145*'Parameters &amp; Inputs'!$B$14)*E145*'Parameters &amp; Inputs'!$B$16</f>
        <v/>
      </c>
      <c r="J145" s="25">
        <f>((H145*IF(G145="Mass Timber",'Parameters &amp; Inputs'!$B$7,'Parameters &amp; Inputs'!$B$6)) + (I145*'Parameters &amp; Inputs'!$B$8))/1000</f>
        <v/>
      </c>
      <c r="K145" s="26">
        <f>MAX('Parameters &amp; Inputs'!$B$13, 'Parameters &amp; Inputs'!$B$9 + (E145*'Parameters &amp; Inputs'!$B$10) - (F145*'Parameters &amp; Inputs'!$B$11) - IF(G145="Concrete",'Parameters &amp; Inputs'!$B$12,0))</f>
        <v/>
      </c>
      <c r="L145" s="25">
        <f>(D145*K145*'Parameters &amp; Inputs'!$B$5*'Parameters &amp; Inputs'!$B$4)/1000</f>
        <v/>
      </c>
      <c r="M145" s="25">
        <f>J145+L145</f>
        <v/>
      </c>
      <c r="N145" s="19">
        <f>(M145*1000)/D145</f>
        <v/>
      </c>
      <c r="O145" s="16">
        <f>IF(COUNTIFS($J$2:$J$201, "&lt;"&amp;J145, $L$2:$L$201, "&lt;"&amp;L145)=0, "PARETO", "Sub-optimal")</f>
        <v/>
      </c>
    </row>
    <row r="146" ht="20" customHeight="1">
      <c r="A146" s="10" t="n">
        <v>145</v>
      </c>
      <c r="B146" s="12" t="n">
        <v>7</v>
      </c>
      <c r="C146" s="14" t="n">
        <v>887</v>
      </c>
      <c r="D146" s="14">
        <f>B146*C146</f>
        <v/>
      </c>
      <c r="E146" s="13" t="n">
        <v>0.64</v>
      </c>
      <c r="F146" s="13" t="n">
        <v>1.41</v>
      </c>
      <c r="G146" s="11" t="inlineStr">
        <is>
          <t>Concrete</t>
        </is>
      </c>
      <c r="H146" s="14">
        <f>D146*'Parameters &amp; Inputs'!$B$15</f>
        <v/>
      </c>
      <c r="I146" s="21">
        <f>(4*SQRT(C146))*(B146*'Parameters &amp; Inputs'!$B$14)*E146*'Parameters &amp; Inputs'!$B$16</f>
        <v/>
      </c>
      <c r="J146" s="22">
        <f>((H146*IF(G146="Mass Timber",'Parameters &amp; Inputs'!$B$7,'Parameters &amp; Inputs'!$B$6)) + (I146*'Parameters &amp; Inputs'!$B$8))/1000</f>
        <v/>
      </c>
      <c r="K146" s="23">
        <f>MAX('Parameters &amp; Inputs'!$B$13, 'Parameters &amp; Inputs'!$B$9 + (E146*'Parameters &amp; Inputs'!$B$10) - (F146*'Parameters &amp; Inputs'!$B$11) - IF(G146="Concrete",'Parameters &amp; Inputs'!$B$12,0))</f>
        <v/>
      </c>
      <c r="L146" s="22">
        <f>(D146*K146*'Parameters &amp; Inputs'!$B$5*'Parameters &amp; Inputs'!$B$4)/1000</f>
        <v/>
      </c>
      <c r="M146" s="22">
        <f>J146+L146</f>
        <v/>
      </c>
      <c r="N146" s="14">
        <f>(M146*1000)/D146</f>
        <v/>
      </c>
      <c r="O146" s="11">
        <f>IF(COUNTIFS($J$2:$J$201, "&lt;"&amp;J146, $L$2:$L$201, "&lt;"&amp;L146)=0, "PARETO", "Sub-optimal")</f>
        <v/>
      </c>
    </row>
    <row r="147" ht="20" customHeight="1">
      <c r="A147" s="15" t="n">
        <v>146</v>
      </c>
      <c r="B147" s="17" t="n">
        <v>8</v>
      </c>
      <c r="C147" s="19" t="n">
        <v>1448.5</v>
      </c>
      <c r="D147" s="19">
        <f>B147*C147</f>
        <v/>
      </c>
      <c r="E147" s="18" t="n">
        <v>0.63</v>
      </c>
      <c r="F147" s="18" t="n">
        <v>0.07000000000000001</v>
      </c>
      <c r="G147" s="16" t="inlineStr">
        <is>
          <t>Mass Timber</t>
        </is>
      </c>
      <c r="H147" s="19">
        <f>D147*'Parameters &amp; Inputs'!$B$15</f>
        <v/>
      </c>
      <c r="I147" s="24">
        <f>(4*SQRT(C147))*(B147*'Parameters &amp; Inputs'!$B$14)*E147*'Parameters &amp; Inputs'!$B$16</f>
        <v/>
      </c>
      <c r="J147" s="25">
        <f>((H147*IF(G147="Mass Timber",'Parameters &amp; Inputs'!$B$7,'Parameters &amp; Inputs'!$B$6)) + (I147*'Parameters &amp; Inputs'!$B$8))/1000</f>
        <v/>
      </c>
      <c r="K147" s="26">
        <f>MAX('Parameters &amp; Inputs'!$B$13, 'Parameters &amp; Inputs'!$B$9 + (E147*'Parameters &amp; Inputs'!$B$10) - (F147*'Parameters &amp; Inputs'!$B$11) - IF(G147="Concrete",'Parameters &amp; Inputs'!$B$12,0))</f>
        <v/>
      </c>
      <c r="L147" s="25">
        <f>(D147*K147*'Parameters &amp; Inputs'!$B$5*'Parameters &amp; Inputs'!$B$4)/1000</f>
        <v/>
      </c>
      <c r="M147" s="25">
        <f>J147+L147</f>
        <v/>
      </c>
      <c r="N147" s="19">
        <f>(M147*1000)/D147</f>
        <v/>
      </c>
      <c r="O147" s="16">
        <f>IF(COUNTIFS($J$2:$J$201, "&lt;"&amp;J147, $L$2:$L$201, "&lt;"&amp;L147)=0, "PARETO", "Sub-optimal")</f>
        <v/>
      </c>
    </row>
    <row r="148" ht="20" customHeight="1">
      <c r="A148" s="10" t="n">
        <v>147</v>
      </c>
      <c r="B148" s="12" t="n">
        <v>14</v>
      </c>
      <c r="C148" s="14" t="n">
        <v>1325.4</v>
      </c>
      <c r="D148" s="14">
        <f>B148*C148</f>
        <v/>
      </c>
      <c r="E148" s="13" t="n">
        <v>0.68</v>
      </c>
      <c r="F148" s="13" t="n">
        <v>1.24</v>
      </c>
      <c r="G148" s="11" t="inlineStr">
        <is>
          <t>Concrete</t>
        </is>
      </c>
      <c r="H148" s="14">
        <f>D148*'Parameters &amp; Inputs'!$B$15</f>
        <v/>
      </c>
      <c r="I148" s="21">
        <f>(4*SQRT(C148))*(B148*'Parameters &amp; Inputs'!$B$14)*E148*'Parameters &amp; Inputs'!$B$16</f>
        <v/>
      </c>
      <c r="J148" s="22">
        <f>((H148*IF(G148="Mass Timber",'Parameters &amp; Inputs'!$B$7,'Parameters &amp; Inputs'!$B$6)) + (I148*'Parameters &amp; Inputs'!$B$8))/1000</f>
        <v/>
      </c>
      <c r="K148" s="23">
        <f>MAX('Parameters &amp; Inputs'!$B$13, 'Parameters &amp; Inputs'!$B$9 + (E148*'Parameters &amp; Inputs'!$B$10) - (F148*'Parameters &amp; Inputs'!$B$11) - IF(G148="Concrete",'Parameters &amp; Inputs'!$B$12,0))</f>
        <v/>
      </c>
      <c r="L148" s="22">
        <f>(D148*K148*'Parameters &amp; Inputs'!$B$5*'Parameters &amp; Inputs'!$B$4)/1000</f>
        <v/>
      </c>
      <c r="M148" s="22">
        <f>J148+L148</f>
        <v/>
      </c>
      <c r="N148" s="14">
        <f>(M148*1000)/D148</f>
        <v/>
      </c>
      <c r="O148" s="11">
        <f>IF(COUNTIFS($J$2:$J$201, "&lt;"&amp;J148, $L$2:$L$201, "&lt;"&amp;L148)=0, "PARETO", "Sub-optimal")</f>
        <v/>
      </c>
    </row>
    <row r="149" ht="20" customHeight="1">
      <c r="A149" s="15" t="n">
        <v>148</v>
      </c>
      <c r="B149" s="17" t="n">
        <v>8</v>
      </c>
      <c r="C149" s="19" t="n">
        <v>1265.6</v>
      </c>
      <c r="D149" s="19">
        <f>B149*C149</f>
        <v/>
      </c>
      <c r="E149" s="18" t="n">
        <v>0.51</v>
      </c>
      <c r="F149" s="18" t="n">
        <v>0.54</v>
      </c>
      <c r="G149" s="16" t="inlineStr">
        <is>
          <t>Mass Timber</t>
        </is>
      </c>
      <c r="H149" s="19">
        <f>D149*'Parameters &amp; Inputs'!$B$15</f>
        <v/>
      </c>
      <c r="I149" s="24">
        <f>(4*SQRT(C149))*(B149*'Parameters &amp; Inputs'!$B$14)*E149*'Parameters &amp; Inputs'!$B$16</f>
        <v/>
      </c>
      <c r="J149" s="25">
        <f>((H149*IF(G149="Mass Timber",'Parameters &amp; Inputs'!$B$7,'Parameters &amp; Inputs'!$B$6)) + (I149*'Parameters &amp; Inputs'!$B$8))/1000</f>
        <v/>
      </c>
      <c r="K149" s="26">
        <f>MAX('Parameters &amp; Inputs'!$B$13, 'Parameters &amp; Inputs'!$B$9 + (E149*'Parameters &amp; Inputs'!$B$10) - (F149*'Parameters &amp; Inputs'!$B$11) - IF(G149="Concrete",'Parameters &amp; Inputs'!$B$12,0))</f>
        <v/>
      </c>
      <c r="L149" s="25">
        <f>(D149*K149*'Parameters &amp; Inputs'!$B$5*'Parameters &amp; Inputs'!$B$4)/1000</f>
        <v/>
      </c>
      <c r="M149" s="25">
        <f>J149+L149</f>
        <v/>
      </c>
      <c r="N149" s="19">
        <f>(M149*1000)/D149</f>
        <v/>
      </c>
      <c r="O149" s="16">
        <f>IF(COUNTIFS($J$2:$J$201, "&lt;"&amp;J149, $L$2:$L$201, "&lt;"&amp;L149)=0, "PARETO", "Sub-optimal")</f>
        <v/>
      </c>
    </row>
    <row r="150" ht="20" customHeight="1">
      <c r="A150" s="10" t="n">
        <v>149</v>
      </c>
      <c r="B150" s="12" t="n">
        <v>14</v>
      </c>
      <c r="C150" s="14" t="n">
        <v>1278.1</v>
      </c>
      <c r="D150" s="14">
        <f>B150*C150</f>
        <v/>
      </c>
      <c r="E150" s="13" t="n">
        <v>0.47</v>
      </c>
      <c r="F150" s="13" t="n">
        <v>1.07</v>
      </c>
      <c r="G150" s="11" t="inlineStr">
        <is>
          <t>Mass Timber</t>
        </is>
      </c>
      <c r="H150" s="14">
        <f>D150*'Parameters &amp; Inputs'!$B$15</f>
        <v/>
      </c>
      <c r="I150" s="21">
        <f>(4*SQRT(C150))*(B150*'Parameters &amp; Inputs'!$B$14)*E150*'Parameters &amp; Inputs'!$B$16</f>
        <v/>
      </c>
      <c r="J150" s="22">
        <f>((H150*IF(G150="Mass Timber",'Parameters &amp; Inputs'!$B$7,'Parameters &amp; Inputs'!$B$6)) + (I150*'Parameters &amp; Inputs'!$B$8))/1000</f>
        <v/>
      </c>
      <c r="K150" s="23">
        <f>MAX('Parameters &amp; Inputs'!$B$13, 'Parameters &amp; Inputs'!$B$9 + (E150*'Parameters &amp; Inputs'!$B$10) - (F150*'Parameters &amp; Inputs'!$B$11) - IF(G150="Concrete",'Parameters &amp; Inputs'!$B$12,0))</f>
        <v/>
      </c>
      <c r="L150" s="22">
        <f>(D150*K150*'Parameters &amp; Inputs'!$B$5*'Parameters &amp; Inputs'!$B$4)/1000</f>
        <v/>
      </c>
      <c r="M150" s="22">
        <f>J150+L150</f>
        <v/>
      </c>
      <c r="N150" s="14">
        <f>(M150*1000)/D150</f>
        <v/>
      </c>
      <c r="O150" s="11">
        <f>IF(COUNTIFS($J$2:$J$201, "&lt;"&amp;J150, $L$2:$L$201, "&lt;"&amp;L150)=0, "PARETO", "Sub-optimal")</f>
        <v/>
      </c>
    </row>
    <row r="151" ht="20" customHeight="1">
      <c r="A151" s="15" t="n">
        <v>150</v>
      </c>
      <c r="B151" s="17" t="n">
        <v>11</v>
      </c>
      <c r="C151" s="19" t="n">
        <v>1177.8</v>
      </c>
      <c r="D151" s="19">
        <f>B151*C151</f>
        <v/>
      </c>
      <c r="E151" s="18" t="n">
        <v>0.46</v>
      </c>
      <c r="F151" s="18" t="n">
        <v>0.87</v>
      </c>
      <c r="G151" s="16" t="inlineStr">
        <is>
          <t>Concrete</t>
        </is>
      </c>
      <c r="H151" s="19">
        <f>D151*'Parameters &amp; Inputs'!$B$15</f>
        <v/>
      </c>
      <c r="I151" s="24">
        <f>(4*SQRT(C151))*(B151*'Parameters &amp; Inputs'!$B$14)*E151*'Parameters &amp; Inputs'!$B$16</f>
        <v/>
      </c>
      <c r="J151" s="25">
        <f>((H151*IF(G151="Mass Timber",'Parameters &amp; Inputs'!$B$7,'Parameters &amp; Inputs'!$B$6)) + (I151*'Parameters &amp; Inputs'!$B$8))/1000</f>
        <v/>
      </c>
      <c r="K151" s="26">
        <f>MAX('Parameters &amp; Inputs'!$B$13, 'Parameters &amp; Inputs'!$B$9 + (E151*'Parameters &amp; Inputs'!$B$10) - (F151*'Parameters &amp; Inputs'!$B$11) - IF(G151="Concrete",'Parameters &amp; Inputs'!$B$12,0))</f>
        <v/>
      </c>
      <c r="L151" s="25">
        <f>(D151*K151*'Parameters &amp; Inputs'!$B$5*'Parameters &amp; Inputs'!$B$4)/1000</f>
        <v/>
      </c>
      <c r="M151" s="25">
        <f>J151+L151</f>
        <v/>
      </c>
      <c r="N151" s="19">
        <f>(M151*1000)/D151</f>
        <v/>
      </c>
      <c r="O151" s="16">
        <f>IF(COUNTIFS($J$2:$J$201, "&lt;"&amp;J151, $L$2:$L$201, "&lt;"&amp;L151)=0, "PARETO", "Sub-optimal")</f>
        <v/>
      </c>
    </row>
    <row r="152" ht="20" customHeight="1">
      <c r="A152" s="10" t="n">
        <v>151</v>
      </c>
      <c r="B152" s="12" t="n">
        <v>12</v>
      </c>
      <c r="C152" s="14" t="n">
        <v>1172.3</v>
      </c>
      <c r="D152" s="14">
        <f>B152*C152</f>
        <v/>
      </c>
      <c r="E152" s="13" t="n">
        <v>0.24</v>
      </c>
      <c r="F152" s="13" t="n">
        <v>0.34</v>
      </c>
      <c r="G152" s="11" t="inlineStr">
        <is>
          <t>Mass Timber</t>
        </is>
      </c>
      <c r="H152" s="14">
        <f>D152*'Parameters &amp; Inputs'!$B$15</f>
        <v/>
      </c>
      <c r="I152" s="21">
        <f>(4*SQRT(C152))*(B152*'Parameters &amp; Inputs'!$B$14)*E152*'Parameters &amp; Inputs'!$B$16</f>
        <v/>
      </c>
      <c r="J152" s="22">
        <f>((H152*IF(G152="Mass Timber",'Parameters &amp; Inputs'!$B$7,'Parameters &amp; Inputs'!$B$6)) + (I152*'Parameters &amp; Inputs'!$B$8))/1000</f>
        <v/>
      </c>
      <c r="K152" s="23">
        <f>MAX('Parameters &amp; Inputs'!$B$13, 'Parameters &amp; Inputs'!$B$9 + (E152*'Parameters &amp; Inputs'!$B$10) - (F152*'Parameters &amp; Inputs'!$B$11) - IF(G152="Concrete",'Parameters &amp; Inputs'!$B$12,0))</f>
        <v/>
      </c>
      <c r="L152" s="22">
        <f>(D152*K152*'Parameters &amp; Inputs'!$B$5*'Parameters &amp; Inputs'!$B$4)/1000</f>
        <v/>
      </c>
      <c r="M152" s="22">
        <f>J152+L152</f>
        <v/>
      </c>
      <c r="N152" s="14">
        <f>(M152*1000)/D152</f>
        <v/>
      </c>
      <c r="O152" s="11">
        <f>IF(COUNTIFS($J$2:$J$201, "&lt;"&amp;J152, $L$2:$L$201, "&lt;"&amp;L152)=0, "PARETO", "Sub-optimal")</f>
        <v/>
      </c>
    </row>
    <row r="153" ht="20" customHeight="1">
      <c r="A153" s="15" t="n">
        <v>152</v>
      </c>
      <c r="B153" s="17" t="n">
        <v>11</v>
      </c>
      <c r="C153" s="19" t="n">
        <v>1457.9</v>
      </c>
      <c r="D153" s="19">
        <f>B153*C153</f>
        <v/>
      </c>
      <c r="E153" s="18" t="n">
        <v>0.58</v>
      </c>
      <c r="F153" s="18" t="n">
        <v>0.5</v>
      </c>
      <c r="G153" s="16" t="inlineStr">
        <is>
          <t>Concrete</t>
        </is>
      </c>
      <c r="H153" s="19">
        <f>D153*'Parameters &amp; Inputs'!$B$15</f>
        <v/>
      </c>
      <c r="I153" s="24">
        <f>(4*SQRT(C153))*(B153*'Parameters &amp; Inputs'!$B$14)*E153*'Parameters &amp; Inputs'!$B$16</f>
        <v/>
      </c>
      <c r="J153" s="25">
        <f>((H153*IF(G153="Mass Timber",'Parameters &amp; Inputs'!$B$7,'Parameters &amp; Inputs'!$B$6)) + (I153*'Parameters &amp; Inputs'!$B$8))/1000</f>
        <v/>
      </c>
      <c r="K153" s="26">
        <f>MAX('Parameters &amp; Inputs'!$B$13, 'Parameters &amp; Inputs'!$B$9 + (E153*'Parameters &amp; Inputs'!$B$10) - (F153*'Parameters &amp; Inputs'!$B$11) - IF(G153="Concrete",'Parameters &amp; Inputs'!$B$12,0))</f>
        <v/>
      </c>
      <c r="L153" s="25">
        <f>(D153*K153*'Parameters &amp; Inputs'!$B$5*'Parameters &amp; Inputs'!$B$4)/1000</f>
        <v/>
      </c>
      <c r="M153" s="25">
        <f>J153+L153</f>
        <v/>
      </c>
      <c r="N153" s="19">
        <f>(M153*1000)/D153</f>
        <v/>
      </c>
      <c r="O153" s="16">
        <f>IF(COUNTIFS($J$2:$J$201, "&lt;"&amp;J153, $L$2:$L$201, "&lt;"&amp;L153)=0, "PARETO", "Sub-optimal")</f>
        <v/>
      </c>
    </row>
    <row r="154" ht="20" customHeight="1">
      <c r="A154" s="10" t="n">
        <v>153</v>
      </c>
      <c r="B154" s="12" t="n">
        <v>6</v>
      </c>
      <c r="C154" s="14" t="n">
        <v>1173.4</v>
      </c>
      <c r="D154" s="14">
        <f>B154*C154</f>
        <v/>
      </c>
      <c r="E154" s="13" t="n">
        <v>0.74</v>
      </c>
      <c r="F154" s="13" t="n">
        <v>1.18</v>
      </c>
      <c r="G154" s="11" t="inlineStr">
        <is>
          <t>Concrete</t>
        </is>
      </c>
      <c r="H154" s="14">
        <f>D154*'Parameters &amp; Inputs'!$B$15</f>
        <v/>
      </c>
      <c r="I154" s="21">
        <f>(4*SQRT(C154))*(B154*'Parameters &amp; Inputs'!$B$14)*E154*'Parameters &amp; Inputs'!$B$16</f>
        <v/>
      </c>
      <c r="J154" s="22">
        <f>((H154*IF(G154="Mass Timber",'Parameters &amp; Inputs'!$B$7,'Parameters &amp; Inputs'!$B$6)) + (I154*'Parameters &amp; Inputs'!$B$8))/1000</f>
        <v/>
      </c>
      <c r="K154" s="23">
        <f>MAX('Parameters &amp; Inputs'!$B$13, 'Parameters &amp; Inputs'!$B$9 + (E154*'Parameters &amp; Inputs'!$B$10) - (F154*'Parameters &amp; Inputs'!$B$11) - IF(G154="Concrete",'Parameters &amp; Inputs'!$B$12,0))</f>
        <v/>
      </c>
      <c r="L154" s="22">
        <f>(D154*K154*'Parameters &amp; Inputs'!$B$5*'Parameters &amp; Inputs'!$B$4)/1000</f>
        <v/>
      </c>
      <c r="M154" s="22">
        <f>J154+L154</f>
        <v/>
      </c>
      <c r="N154" s="14">
        <f>(M154*1000)/D154</f>
        <v/>
      </c>
      <c r="O154" s="11">
        <f>IF(COUNTIFS($J$2:$J$201, "&lt;"&amp;J154, $L$2:$L$201, "&lt;"&amp;L154)=0, "PARETO", "Sub-optimal")</f>
        <v/>
      </c>
    </row>
    <row r="155" ht="20" customHeight="1">
      <c r="A155" s="15" t="n">
        <v>154</v>
      </c>
      <c r="B155" s="17" t="n">
        <v>6</v>
      </c>
      <c r="C155" s="19" t="n">
        <v>1294.9</v>
      </c>
      <c r="D155" s="19">
        <f>B155*C155</f>
        <v/>
      </c>
      <c r="E155" s="18" t="n">
        <v>0.67</v>
      </c>
      <c r="F155" s="18" t="n">
        <v>0.21</v>
      </c>
      <c r="G155" s="16" t="inlineStr">
        <is>
          <t>Concrete</t>
        </is>
      </c>
      <c r="H155" s="19">
        <f>D155*'Parameters &amp; Inputs'!$B$15</f>
        <v/>
      </c>
      <c r="I155" s="24">
        <f>(4*SQRT(C155))*(B155*'Parameters &amp; Inputs'!$B$14)*E155*'Parameters &amp; Inputs'!$B$16</f>
        <v/>
      </c>
      <c r="J155" s="25">
        <f>((H155*IF(G155="Mass Timber",'Parameters &amp; Inputs'!$B$7,'Parameters &amp; Inputs'!$B$6)) + (I155*'Parameters &amp; Inputs'!$B$8))/1000</f>
        <v/>
      </c>
      <c r="K155" s="26">
        <f>MAX('Parameters &amp; Inputs'!$B$13, 'Parameters &amp; Inputs'!$B$9 + (E155*'Parameters &amp; Inputs'!$B$10) - (F155*'Parameters &amp; Inputs'!$B$11) - IF(G155="Concrete",'Parameters &amp; Inputs'!$B$12,0))</f>
        <v/>
      </c>
      <c r="L155" s="25">
        <f>(D155*K155*'Parameters &amp; Inputs'!$B$5*'Parameters &amp; Inputs'!$B$4)/1000</f>
        <v/>
      </c>
      <c r="M155" s="25">
        <f>J155+L155</f>
        <v/>
      </c>
      <c r="N155" s="19">
        <f>(M155*1000)/D155</f>
        <v/>
      </c>
      <c r="O155" s="16">
        <f>IF(COUNTIFS($J$2:$J$201, "&lt;"&amp;J155, $L$2:$L$201, "&lt;"&amp;L155)=0, "PARETO", "Sub-optimal")</f>
        <v/>
      </c>
    </row>
    <row r="156" ht="20" customHeight="1">
      <c r="A156" s="10" t="n">
        <v>155</v>
      </c>
      <c r="B156" s="12" t="n">
        <v>7</v>
      </c>
      <c r="C156" s="14" t="n">
        <v>1333.7</v>
      </c>
      <c r="D156" s="14">
        <f>B156*C156</f>
        <v/>
      </c>
      <c r="E156" s="13" t="n">
        <v>0.73</v>
      </c>
      <c r="F156" s="13" t="n">
        <v>0.51</v>
      </c>
      <c r="G156" s="11" t="inlineStr">
        <is>
          <t>Mass Timber</t>
        </is>
      </c>
      <c r="H156" s="14">
        <f>D156*'Parameters &amp; Inputs'!$B$15</f>
        <v/>
      </c>
      <c r="I156" s="21">
        <f>(4*SQRT(C156))*(B156*'Parameters &amp; Inputs'!$B$14)*E156*'Parameters &amp; Inputs'!$B$16</f>
        <v/>
      </c>
      <c r="J156" s="22">
        <f>((H156*IF(G156="Mass Timber",'Parameters &amp; Inputs'!$B$7,'Parameters &amp; Inputs'!$B$6)) + (I156*'Parameters &amp; Inputs'!$B$8))/1000</f>
        <v/>
      </c>
      <c r="K156" s="23">
        <f>MAX('Parameters &amp; Inputs'!$B$13, 'Parameters &amp; Inputs'!$B$9 + (E156*'Parameters &amp; Inputs'!$B$10) - (F156*'Parameters &amp; Inputs'!$B$11) - IF(G156="Concrete",'Parameters &amp; Inputs'!$B$12,0))</f>
        <v/>
      </c>
      <c r="L156" s="22">
        <f>(D156*K156*'Parameters &amp; Inputs'!$B$5*'Parameters &amp; Inputs'!$B$4)/1000</f>
        <v/>
      </c>
      <c r="M156" s="22">
        <f>J156+L156</f>
        <v/>
      </c>
      <c r="N156" s="14">
        <f>(M156*1000)/D156</f>
        <v/>
      </c>
      <c r="O156" s="11">
        <f>IF(COUNTIFS($J$2:$J$201, "&lt;"&amp;J156, $L$2:$L$201, "&lt;"&amp;L156)=0, "PARETO", "Sub-optimal")</f>
        <v/>
      </c>
    </row>
    <row r="157" ht="20" customHeight="1">
      <c r="A157" s="15" t="n">
        <v>156</v>
      </c>
      <c r="B157" s="17" t="n">
        <v>9</v>
      </c>
      <c r="C157" s="19" t="n">
        <v>1119.9</v>
      </c>
      <c r="D157" s="19">
        <f>B157*C157</f>
        <v/>
      </c>
      <c r="E157" s="18" t="n">
        <v>0.5600000000000001</v>
      </c>
      <c r="F157" s="18" t="n">
        <v>0.75</v>
      </c>
      <c r="G157" s="16" t="inlineStr">
        <is>
          <t>Mass Timber</t>
        </is>
      </c>
      <c r="H157" s="19">
        <f>D157*'Parameters &amp; Inputs'!$B$15</f>
        <v/>
      </c>
      <c r="I157" s="24">
        <f>(4*SQRT(C157))*(B157*'Parameters &amp; Inputs'!$B$14)*E157*'Parameters &amp; Inputs'!$B$16</f>
        <v/>
      </c>
      <c r="J157" s="25">
        <f>((H157*IF(G157="Mass Timber",'Parameters &amp; Inputs'!$B$7,'Parameters &amp; Inputs'!$B$6)) + (I157*'Parameters &amp; Inputs'!$B$8))/1000</f>
        <v/>
      </c>
      <c r="K157" s="26">
        <f>MAX('Parameters &amp; Inputs'!$B$13, 'Parameters &amp; Inputs'!$B$9 + (E157*'Parameters &amp; Inputs'!$B$10) - (F157*'Parameters &amp; Inputs'!$B$11) - IF(G157="Concrete",'Parameters &amp; Inputs'!$B$12,0))</f>
        <v/>
      </c>
      <c r="L157" s="25">
        <f>(D157*K157*'Parameters &amp; Inputs'!$B$5*'Parameters &amp; Inputs'!$B$4)/1000</f>
        <v/>
      </c>
      <c r="M157" s="25">
        <f>J157+L157</f>
        <v/>
      </c>
      <c r="N157" s="19">
        <f>(M157*1000)/D157</f>
        <v/>
      </c>
      <c r="O157" s="16">
        <f>IF(COUNTIFS($J$2:$J$201, "&lt;"&amp;J157, $L$2:$L$201, "&lt;"&amp;L157)=0, "PARETO", "Sub-optimal")</f>
        <v/>
      </c>
    </row>
    <row r="158" ht="20" customHeight="1">
      <c r="A158" s="10" t="n">
        <v>157</v>
      </c>
      <c r="B158" s="12" t="n">
        <v>9</v>
      </c>
      <c r="C158" s="14" t="n">
        <v>1305.6</v>
      </c>
      <c r="D158" s="14">
        <f>B158*C158</f>
        <v/>
      </c>
      <c r="E158" s="13" t="n">
        <v>0.63</v>
      </c>
      <c r="F158" s="13" t="n">
        <v>0.96</v>
      </c>
      <c r="G158" s="11" t="inlineStr">
        <is>
          <t>Mass Timber</t>
        </is>
      </c>
      <c r="H158" s="14">
        <f>D158*'Parameters &amp; Inputs'!$B$15</f>
        <v/>
      </c>
      <c r="I158" s="21">
        <f>(4*SQRT(C158))*(B158*'Parameters &amp; Inputs'!$B$14)*E158*'Parameters &amp; Inputs'!$B$16</f>
        <v/>
      </c>
      <c r="J158" s="22">
        <f>((H158*IF(G158="Mass Timber",'Parameters &amp; Inputs'!$B$7,'Parameters &amp; Inputs'!$B$6)) + (I158*'Parameters &amp; Inputs'!$B$8))/1000</f>
        <v/>
      </c>
      <c r="K158" s="23">
        <f>MAX('Parameters &amp; Inputs'!$B$13, 'Parameters &amp; Inputs'!$B$9 + (E158*'Parameters &amp; Inputs'!$B$10) - (F158*'Parameters &amp; Inputs'!$B$11) - IF(G158="Concrete",'Parameters &amp; Inputs'!$B$12,0))</f>
        <v/>
      </c>
      <c r="L158" s="22">
        <f>(D158*K158*'Parameters &amp; Inputs'!$B$5*'Parameters &amp; Inputs'!$B$4)/1000</f>
        <v/>
      </c>
      <c r="M158" s="22">
        <f>J158+L158</f>
        <v/>
      </c>
      <c r="N158" s="14">
        <f>(M158*1000)/D158</f>
        <v/>
      </c>
      <c r="O158" s="11">
        <f>IF(COUNTIFS($J$2:$J$201, "&lt;"&amp;J158, $L$2:$L$201, "&lt;"&amp;L158)=0, "PARETO", "Sub-optimal")</f>
        <v/>
      </c>
    </row>
    <row r="159" ht="20" customHeight="1">
      <c r="A159" s="15" t="n">
        <v>158</v>
      </c>
      <c r="B159" s="17" t="n">
        <v>9</v>
      </c>
      <c r="C159" s="19" t="n">
        <v>1301.3</v>
      </c>
      <c r="D159" s="19">
        <f>B159*C159</f>
        <v/>
      </c>
      <c r="E159" s="18" t="n">
        <v>0.5600000000000001</v>
      </c>
      <c r="F159" s="18" t="n">
        <v>1.24</v>
      </c>
      <c r="G159" s="16" t="inlineStr">
        <is>
          <t>Mass Timber</t>
        </is>
      </c>
      <c r="H159" s="19">
        <f>D159*'Parameters &amp; Inputs'!$B$15</f>
        <v/>
      </c>
      <c r="I159" s="24">
        <f>(4*SQRT(C159))*(B159*'Parameters &amp; Inputs'!$B$14)*E159*'Parameters &amp; Inputs'!$B$16</f>
        <v/>
      </c>
      <c r="J159" s="25">
        <f>((H159*IF(G159="Mass Timber",'Parameters &amp; Inputs'!$B$7,'Parameters &amp; Inputs'!$B$6)) + (I159*'Parameters &amp; Inputs'!$B$8))/1000</f>
        <v/>
      </c>
      <c r="K159" s="26">
        <f>MAX('Parameters &amp; Inputs'!$B$13, 'Parameters &amp; Inputs'!$B$9 + (E159*'Parameters &amp; Inputs'!$B$10) - (F159*'Parameters &amp; Inputs'!$B$11) - IF(G159="Concrete",'Parameters &amp; Inputs'!$B$12,0))</f>
        <v/>
      </c>
      <c r="L159" s="25">
        <f>(D159*K159*'Parameters &amp; Inputs'!$B$5*'Parameters &amp; Inputs'!$B$4)/1000</f>
        <v/>
      </c>
      <c r="M159" s="25">
        <f>J159+L159</f>
        <v/>
      </c>
      <c r="N159" s="19">
        <f>(M159*1000)/D159</f>
        <v/>
      </c>
      <c r="O159" s="16">
        <f>IF(COUNTIFS($J$2:$J$201, "&lt;"&amp;J159, $L$2:$L$201, "&lt;"&amp;L159)=0, "PARETO", "Sub-optimal")</f>
        <v/>
      </c>
    </row>
    <row r="160" ht="20" customHeight="1">
      <c r="A160" s="10" t="n">
        <v>159</v>
      </c>
      <c r="B160" s="12" t="n">
        <v>13</v>
      </c>
      <c r="C160" s="14" t="n">
        <v>1208.4</v>
      </c>
      <c r="D160" s="14">
        <f>B160*C160</f>
        <v/>
      </c>
      <c r="E160" s="13" t="n">
        <v>0.44</v>
      </c>
      <c r="F160" s="13" t="n">
        <v>0.6899999999999999</v>
      </c>
      <c r="G160" s="11" t="inlineStr">
        <is>
          <t>Mass Timber</t>
        </is>
      </c>
      <c r="H160" s="14">
        <f>D160*'Parameters &amp; Inputs'!$B$15</f>
        <v/>
      </c>
      <c r="I160" s="21">
        <f>(4*SQRT(C160))*(B160*'Parameters &amp; Inputs'!$B$14)*E160*'Parameters &amp; Inputs'!$B$16</f>
        <v/>
      </c>
      <c r="J160" s="22">
        <f>((H160*IF(G160="Mass Timber",'Parameters &amp; Inputs'!$B$7,'Parameters &amp; Inputs'!$B$6)) + (I160*'Parameters &amp; Inputs'!$B$8))/1000</f>
        <v/>
      </c>
      <c r="K160" s="23">
        <f>MAX('Parameters &amp; Inputs'!$B$13, 'Parameters &amp; Inputs'!$B$9 + (E160*'Parameters &amp; Inputs'!$B$10) - (F160*'Parameters &amp; Inputs'!$B$11) - IF(G160="Concrete",'Parameters &amp; Inputs'!$B$12,0))</f>
        <v/>
      </c>
      <c r="L160" s="22">
        <f>(D160*K160*'Parameters &amp; Inputs'!$B$5*'Parameters &amp; Inputs'!$B$4)/1000</f>
        <v/>
      </c>
      <c r="M160" s="22">
        <f>J160+L160</f>
        <v/>
      </c>
      <c r="N160" s="14">
        <f>(M160*1000)/D160</f>
        <v/>
      </c>
      <c r="O160" s="11">
        <f>IF(COUNTIFS($J$2:$J$201, "&lt;"&amp;J160, $L$2:$L$201, "&lt;"&amp;L160)=0, "PARETO", "Sub-optimal")</f>
        <v/>
      </c>
    </row>
    <row r="161" ht="20" customHeight="1">
      <c r="A161" s="15" t="n">
        <v>160</v>
      </c>
      <c r="B161" s="17" t="n">
        <v>13</v>
      </c>
      <c r="C161" s="19" t="n">
        <v>1154.1</v>
      </c>
      <c r="D161" s="19">
        <f>B161*C161</f>
        <v/>
      </c>
      <c r="E161" s="18" t="n">
        <v>0.57</v>
      </c>
      <c r="F161" s="18" t="n">
        <v>0.03</v>
      </c>
      <c r="G161" s="16" t="inlineStr">
        <is>
          <t>Mass Timber</t>
        </is>
      </c>
      <c r="H161" s="19">
        <f>D161*'Parameters &amp; Inputs'!$B$15</f>
        <v/>
      </c>
      <c r="I161" s="24">
        <f>(4*SQRT(C161))*(B161*'Parameters &amp; Inputs'!$B$14)*E161*'Parameters &amp; Inputs'!$B$16</f>
        <v/>
      </c>
      <c r="J161" s="25">
        <f>((H161*IF(G161="Mass Timber",'Parameters &amp; Inputs'!$B$7,'Parameters &amp; Inputs'!$B$6)) + (I161*'Parameters &amp; Inputs'!$B$8))/1000</f>
        <v/>
      </c>
      <c r="K161" s="26">
        <f>MAX('Parameters &amp; Inputs'!$B$13, 'Parameters &amp; Inputs'!$B$9 + (E161*'Parameters &amp; Inputs'!$B$10) - (F161*'Parameters &amp; Inputs'!$B$11) - IF(G161="Concrete",'Parameters &amp; Inputs'!$B$12,0))</f>
        <v/>
      </c>
      <c r="L161" s="25">
        <f>(D161*K161*'Parameters &amp; Inputs'!$B$5*'Parameters &amp; Inputs'!$B$4)/1000</f>
        <v/>
      </c>
      <c r="M161" s="25">
        <f>J161+L161</f>
        <v/>
      </c>
      <c r="N161" s="19">
        <f>(M161*1000)/D161</f>
        <v/>
      </c>
      <c r="O161" s="16">
        <f>IF(COUNTIFS($J$2:$J$201, "&lt;"&amp;J161, $L$2:$L$201, "&lt;"&amp;L161)=0, "PARETO", "Sub-optimal")</f>
        <v/>
      </c>
    </row>
    <row r="162" ht="20" customHeight="1">
      <c r="A162" s="10" t="n">
        <v>161</v>
      </c>
      <c r="B162" s="12" t="n">
        <v>9</v>
      </c>
      <c r="C162" s="14" t="n">
        <v>1443.1</v>
      </c>
      <c r="D162" s="14">
        <f>B162*C162</f>
        <v/>
      </c>
      <c r="E162" s="13" t="n">
        <v>0.67</v>
      </c>
      <c r="F162" s="13" t="n">
        <v>0.03</v>
      </c>
      <c r="G162" s="11" t="inlineStr">
        <is>
          <t>Mass Timber</t>
        </is>
      </c>
      <c r="H162" s="14">
        <f>D162*'Parameters &amp; Inputs'!$B$15</f>
        <v/>
      </c>
      <c r="I162" s="21">
        <f>(4*SQRT(C162))*(B162*'Parameters &amp; Inputs'!$B$14)*E162*'Parameters &amp; Inputs'!$B$16</f>
        <v/>
      </c>
      <c r="J162" s="22">
        <f>((H162*IF(G162="Mass Timber",'Parameters &amp; Inputs'!$B$7,'Parameters &amp; Inputs'!$B$6)) + (I162*'Parameters &amp; Inputs'!$B$8))/1000</f>
        <v/>
      </c>
      <c r="K162" s="23">
        <f>MAX('Parameters &amp; Inputs'!$B$13, 'Parameters &amp; Inputs'!$B$9 + (E162*'Parameters &amp; Inputs'!$B$10) - (F162*'Parameters &amp; Inputs'!$B$11) - IF(G162="Concrete",'Parameters &amp; Inputs'!$B$12,0))</f>
        <v/>
      </c>
      <c r="L162" s="22">
        <f>(D162*K162*'Parameters &amp; Inputs'!$B$5*'Parameters &amp; Inputs'!$B$4)/1000</f>
        <v/>
      </c>
      <c r="M162" s="22">
        <f>J162+L162</f>
        <v/>
      </c>
      <c r="N162" s="14">
        <f>(M162*1000)/D162</f>
        <v/>
      </c>
      <c r="O162" s="11">
        <f>IF(COUNTIFS($J$2:$J$201, "&lt;"&amp;J162, $L$2:$L$201, "&lt;"&amp;L162)=0, "PARETO", "Sub-optimal")</f>
        <v/>
      </c>
    </row>
    <row r="163" ht="20" customHeight="1">
      <c r="A163" s="15" t="n">
        <v>162</v>
      </c>
      <c r="B163" s="17" t="n">
        <v>6</v>
      </c>
      <c r="C163" s="19" t="n">
        <v>1203.4</v>
      </c>
      <c r="D163" s="19">
        <f>B163*C163</f>
        <v/>
      </c>
      <c r="E163" s="18" t="n">
        <v>0.5600000000000001</v>
      </c>
      <c r="F163" s="18" t="n">
        <v>0.64</v>
      </c>
      <c r="G163" s="16" t="inlineStr">
        <is>
          <t>Mass Timber</t>
        </is>
      </c>
      <c r="H163" s="19">
        <f>D163*'Parameters &amp; Inputs'!$B$15</f>
        <v/>
      </c>
      <c r="I163" s="24">
        <f>(4*SQRT(C163))*(B163*'Parameters &amp; Inputs'!$B$14)*E163*'Parameters &amp; Inputs'!$B$16</f>
        <v/>
      </c>
      <c r="J163" s="25">
        <f>((H163*IF(G163="Mass Timber",'Parameters &amp; Inputs'!$B$7,'Parameters &amp; Inputs'!$B$6)) + (I163*'Parameters &amp; Inputs'!$B$8))/1000</f>
        <v/>
      </c>
      <c r="K163" s="26">
        <f>MAX('Parameters &amp; Inputs'!$B$13, 'Parameters &amp; Inputs'!$B$9 + (E163*'Parameters &amp; Inputs'!$B$10) - (F163*'Parameters &amp; Inputs'!$B$11) - IF(G163="Concrete",'Parameters &amp; Inputs'!$B$12,0))</f>
        <v/>
      </c>
      <c r="L163" s="25">
        <f>(D163*K163*'Parameters &amp; Inputs'!$B$5*'Parameters &amp; Inputs'!$B$4)/1000</f>
        <v/>
      </c>
      <c r="M163" s="25">
        <f>J163+L163</f>
        <v/>
      </c>
      <c r="N163" s="19">
        <f>(M163*1000)/D163</f>
        <v/>
      </c>
      <c r="O163" s="16">
        <f>IF(COUNTIFS($J$2:$J$201, "&lt;"&amp;J163, $L$2:$L$201, "&lt;"&amp;L163)=0, "PARETO", "Sub-optimal")</f>
        <v/>
      </c>
    </row>
    <row r="164" ht="20" customHeight="1">
      <c r="A164" s="10" t="n">
        <v>163</v>
      </c>
      <c r="B164" s="12" t="n">
        <v>13</v>
      </c>
      <c r="C164" s="14" t="n">
        <v>1388.3</v>
      </c>
      <c r="D164" s="14">
        <f>B164*C164</f>
        <v/>
      </c>
      <c r="E164" s="13" t="n">
        <v>0.75</v>
      </c>
      <c r="F164" s="13" t="n">
        <v>0.18</v>
      </c>
      <c r="G164" s="11" t="inlineStr">
        <is>
          <t>Concrete</t>
        </is>
      </c>
      <c r="H164" s="14">
        <f>D164*'Parameters &amp; Inputs'!$B$15</f>
        <v/>
      </c>
      <c r="I164" s="21">
        <f>(4*SQRT(C164))*(B164*'Parameters &amp; Inputs'!$B$14)*E164*'Parameters &amp; Inputs'!$B$16</f>
        <v/>
      </c>
      <c r="J164" s="22">
        <f>((H164*IF(G164="Mass Timber",'Parameters &amp; Inputs'!$B$7,'Parameters &amp; Inputs'!$B$6)) + (I164*'Parameters &amp; Inputs'!$B$8))/1000</f>
        <v/>
      </c>
      <c r="K164" s="23">
        <f>MAX('Parameters &amp; Inputs'!$B$13, 'Parameters &amp; Inputs'!$B$9 + (E164*'Parameters &amp; Inputs'!$B$10) - (F164*'Parameters &amp; Inputs'!$B$11) - IF(G164="Concrete",'Parameters &amp; Inputs'!$B$12,0))</f>
        <v/>
      </c>
      <c r="L164" s="22">
        <f>(D164*K164*'Parameters &amp; Inputs'!$B$5*'Parameters &amp; Inputs'!$B$4)/1000</f>
        <v/>
      </c>
      <c r="M164" s="22">
        <f>J164+L164</f>
        <v/>
      </c>
      <c r="N164" s="14">
        <f>(M164*1000)/D164</f>
        <v/>
      </c>
      <c r="O164" s="11">
        <f>IF(COUNTIFS($J$2:$J$201, "&lt;"&amp;J164, $L$2:$L$201, "&lt;"&amp;L164)=0, "PARETO", "Sub-optimal")</f>
        <v/>
      </c>
    </row>
    <row r="165" ht="20" customHeight="1">
      <c r="A165" s="15" t="n">
        <v>164</v>
      </c>
      <c r="B165" s="17" t="n">
        <v>9</v>
      </c>
      <c r="C165" s="19" t="n">
        <v>887.3</v>
      </c>
      <c r="D165" s="19">
        <f>B165*C165</f>
        <v/>
      </c>
      <c r="E165" s="18" t="n">
        <v>0.75</v>
      </c>
      <c r="F165" s="18" t="n">
        <v>1.3</v>
      </c>
      <c r="G165" s="16" t="inlineStr">
        <is>
          <t>Mass Timber</t>
        </is>
      </c>
      <c r="H165" s="19">
        <f>D165*'Parameters &amp; Inputs'!$B$15</f>
        <v/>
      </c>
      <c r="I165" s="24">
        <f>(4*SQRT(C165))*(B165*'Parameters &amp; Inputs'!$B$14)*E165*'Parameters &amp; Inputs'!$B$16</f>
        <v/>
      </c>
      <c r="J165" s="25">
        <f>((H165*IF(G165="Mass Timber",'Parameters &amp; Inputs'!$B$7,'Parameters &amp; Inputs'!$B$6)) + (I165*'Parameters &amp; Inputs'!$B$8))/1000</f>
        <v/>
      </c>
      <c r="K165" s="26">
        <f>MAX('Parameters &amp; Inputs'!$B$13, 'Parameters &amp; Inputs'!$B$9 + (E165*'Parameters &amp; Inputs'!$B$10) - (F165*'Parameters &amp; Inputs'!$B$11) - IF(G165="Concrete",'Parameters &amp; Inputs'!$B$12,0))</f>
        <v/>
      </c>
      <c r="L165" s="25">
        <f>(D165*K165*'Parameters &amp; Inputs'!$B$5*'Parameters &amp; Inputs'!$B$4)/1000</f>
        <v/>
      </c>
      <c r="M165" s="25">
        <f>J165+L165</f>
        <v/>
      </c>
      <c r="N165" s="19">
        <f>(M165*1000)/D165</f>
        <v/>
      </c>
      <c r="O165" s="16">
        <f>IF(COUNTIFS($J$2:$J$201, "&lt;"&amp;J165, $L$2:$L$201, "&lt;"&amp;L165)=0, "PARETO", "Sub-optimal")</f>
        <v/>
      </c>
    </row>
    <row r="166" ht="20" customHeight="1">
      <c r="A166" s="10" t="n">
        <v>165</v>
      </c>
      <c r="B166" s="12" t="n">
        <v>13</v>
      </c>
      <c r="C166" s="14" t="n">
        <v>1225.5</v>
      </c>
      <c r="D166" s="14">
        <f>B166*C166</f>
        <v/>
      </c>
      <c r="E166" s="13" t="n">
        <v>0.43</v>
      </c>
      <c r="F166" s="13" t="n">
        <v>1.12</v>
      </c>
      <c r="G166" s="11" t="inlineStr">
        <is>
          <t>Concrete</t>
        </is>
      </c>
      <c r="H166" s="14">
        <f>D166*'Parameters &amp; Inputs'!$B$15</f>
        <v/>
      </c>
      <c r="I166" s="21">
        <f>(4*SQRT(C166))*(B166*'Parameters &amp; Inputs'!$B$14)*E166*'Parameters &amp; Inputs'!$B$16</f>
        <v/>
      </c>
      <c r="J166" s="22">
        <f>((H166*IF(G166="Mass Timber",'Parameters &amp; Inputs'!$B$7,'Parameters &amp; Inputs'!$B$6)) + (I166*'Parameters &amp; Inputs'!$B$8))/1000</f>
        <v/>
      </c>
      <c r="K166" s="23">
        <f>MAX('Parameters &amp; Inputs'!$B$13, 'Parameters &amp; Inputs'!$B$9 + (E166*'Parameters &amp; Inputs'!$B$10) - (F166*'Parameters &amp; Inputs'!$B$11) - IF(G166="Concrete",'Parameters &amp; Inputs'!$B$12,0))</f>
        <v/>
      </c>
      <c r="L166" s="22">
        <f>(D166*K166*'Parameters &amp; Inputs'!$B$5*'Parameters &amp; Inputs'!$B$4)/1000</f>
        <v/>
      </c>
      <c r="M166" s="22">
        <f>J166+L166</f>
        <v/>
      </c>
      <c r="N166" s="14">
        <f>(M166*1000)/D166</f>
        <v/>
      </c>
      <c r="O166" s="11">
        <f>IF(COUNTIFS($J$2:$J$201, "&lt;"&amp;J166, $L$2:$L$201, "&lt;"&amp;L166)=0, "PARETO", "Sub-optimal")</f>
        <v/>
      </c>
    </row>
    <row r="167" ht="20" customHeight="1">
      <c r="A167" s="15" t="n">
        <v>166</v>
      </c>
      <c r="B167" s="17" t="n">
        <v>14</v>
      </c>
      <c r="C167" s="19" t="n">
        <v>803.2</v>
      </c>
      <c r="D167" s="19">
        <f>B167*C167</f>
        <v/>
      </c>
      <c r="E167" s="18" t="n">
        <v>0.4</v>
      </c>
      <c r="F167" s="18" t="n">
        <v>0.6</v>
      </c>
      <c r="G167" s="16" t="inlineStr">
        <is>
          <t>Mass Timber</t>
        </is>
      </c>
      <c r="H167" s="19">
        <f>D167*'Parameters &amp; Inputs'!$B$15</f>
        <v/>
      </c>
      <c r="I167" s="24">
        <f>(4*SQRT(C167))*(B167*'Parameters &amp; Inputs'!$B$14)*E167*'Parameters &amp; Inputs'!$B$16</f>
        <v/>
      </c>
      <c r="J167" s="25">
        <f>((H167*IF(G167="Mass Timber",'Parameters &amp; Inputs'!$B$7,'Parameters &amp; Inputs'!$B$6)) + (I167*'Parameters &amp; Inputs'!$B$8))/1000</f>
        <v/>
      </c>
      <c r="K167" s="26">
        <f>MAX('Parameters &amp; Inputs'!$B$13, 'Parameters &amp; Inputs'!$B$9 + (E167*'Parameters &amp; Inputs'!$B$10) - (F167*'Parameters &amp; Inputs'!$B$11) - IF(G167="Concrete",'Parameters &amp; Inputs'!$B$12,0))</f>
        <v/>
      </c>
      <c r="L167" s="25">
        <f>(D167*K167*'Parameters &amp; Inputs'!$B$5*'Parameters &amp; Inputs'!$B$4)/1000</f>
        <v/>
      </c>
      <c r="M167" s="25">
        <f>J167+L167</f>
        <v/>
      </c>
      <c r="N167" s="19">
        <f>(M167*1000)/D167</f>
        <v/>
      </c>
      <c r="O167" s="16">
        <f>IF(COUNTIFS($J$2:$J$201, "&lt;"&amp;J167, $L$2:$L$201, "&lt;"&amp;L167)=0, "PARETO", "Sub-optimal")</f>
        <v/>
      </c>
    </row>
    <row r="168" ht="20" customHeight="1">
      <c r="A168" s="10" t="n">
        <v>167</v>
      </c>
      <c r="B168" s="12" t="n">
        <v>11</v>
      </c>
      <c r="C168" s="14" t="n">
        <v>1042.4</v>
      </c>
      <c r="D168" s="14">
        <f>B168*C168</f>
        <v/>
      </c>
      <c r="E168" s="13" t="n">
        <v>0.41</v>
      </c>
      <c r="F168" s="13" t="n">
        <v>1.11</v>
      </c>
      <c r="G168" s="11" t="inlineStr">
        <is>
          <t>Concrete</t>
        </is>
      </c>
      <c r="H168" s="14">
        <f>D168*'Parameters &amp; Inputs'!$B$15</f>
        <v/>
      </c>
      <c r="I168" s="21">
        <f>(4*SQRT(C168))*(B168*'Parameters &amp; Inputs'!$B$14)*E168*'Parameters &amp; Inputs'!$B$16</f>
        <v/>
      </c>
      <c r="J168" s="22">
        <f>((H168*IF(G168="Mass Timber",'Parameters &amp; Inputs'!$B$7,'Parameters &amp; Inputs'!$B$6)) + (I168*'Parameters &amp; Inputs'!$B$8))/1000</f>
        <v/>
      </c>
      <c r="K168" s="23">
        <f>MAX('Parameters &amp; Inputs'!$B$13, 'Parameters &amp; Inputs'!$B$9 + (E168*'Parameters &amp; Inputs'!$B$10) - (F168*'Parameters &amp; Inputs'!$B$11) - IF(G168="Concrete",'Parameters &amp; Inputs'!$B$12,0))</f>
        <v/>
      </c>
      <c r="L168" s="22">
        <f>(D168*K168*'Parameters &amp; Inputs'!$B$5*'Parameters &amp; Inputs'!$B$4)/1000</f>
        <v/>
      </c>
      <c r="M168" s="22">
        <f>J168+L168</f>
        <v/>
      </c>
      <c r="N168" s="14">
        <f>(M168*1000)/D168</f>
        <v/>
      </c>
      <c r="O168" s="11">
        <f>IF(COUNTIFS($J$2:$J$201, "&lt;"&amp;J168, $L$2:$L$201, "&lt;"&amp;L168)=0, "PARETO", "Sub-optimal")</f>
        <v/>
      </c>
    </row>
    <row r="169" ht="20" customHeight="1">
      <c r="A169" s="15" t="n">
        <v>168</v>
      </c>
      <c r="B169" s="17" t="n">
        <v>8</v>
      </c>
      <c r="C169" s="19" t="n">
        <v>973.8</v>
      </c>
      <c r="D169" s="19">
        <f>B169*C169</f>
        <v/>
      </c>
      <c r="E169" s="18" t="n">
        <v>0.55</v>
      </c>
      <c r="F169" s="18" t="n">
        <v>0.25</v>
      </c>
      <c r="G169" s="16" t="inlineStr">
        <is>
          <t>Concrete</t>
        </is>
      </c>
      <c r="H169" s="19">
        <f>D169*'Parameters &amp; Inputs'!$B$15</f>
        <v/>
      </c>
      <c r="I169" s="24">
        <f>(4*SQRT(C169))*(B169*'Parameters &amp; Inputs'!$B$14)*E169*'Parameters &amp; Inputs'!$B$16</f>
        <v/>
      </c>
      <c r="J169" s="25">
        <f>((H169*IF(G169="Mass Timber",'Parameters &amp; Inputs'!$B$7,'Parameters &amp; Inputs'!$B$6)) + (I169*'Parameters &amp; Inputs'!$B$8))/1000</f>
        <v/>
      </c>
      <c r="K169" s="26">
        <f>MAX('Parameters &amp; Inputs'!$B$13, 'Parameters &amp; Inputs'!$B$9 + (E169*'Parameters &amp; Inputs'!$B$10) - (F169*'Parameters &amp; Inputs'!$B$11) - IF(G169="Concrete",'Parameters &amp; Inputs'!$B$12,0))</f>
        <v/>
      </c>
      <c r="L169" s="25">
        <f>(D169*K169*'Parameters &amp; Inputs'!$B$5*'Parameters &amp; Inputs'!$B$4)/1000</f>
        <v/>
      </c>
      <c r="M169" s="25">
        <f>J169+L169</f>
        <v/>
      </c>
      <c r="N169" s="19">
        <f>(M169*1000)/D169</f>
        <v/>
      </c>
      <c r="O169" s="16">
        <f>IF(COUNTIFS($J$2:$J$201, "&lt;"&amp;J169, $L$2:$L$201, "&lt;"&amp;L169)=0, "PARETO", "Sub-optimal")</f>
        <v/>
      </c>
    </row>
    <row r="170" ht="20" customHeight="1">
      <c r="A170" s="10" t="n">
        <v>169</v>
      </c>
      <c r="B170" s="12" t="n">
        <v>6</v>
      </c>
      <c r="C170" s="14" t="n">
        <v>1053.7</v>
      </c>
      <c r="D170" s="14">
        <f>B170*C170</f>
        <v/>
      </c>
      <c r="E170" s="13" t="n">
        <v>0.55</v>
      </c>
      <c r="F170" s="13" t="n">
        <v>0.95</v>
      </c>
      <c r="G170" s="11" t="inlineStr">
        <is>
          <t>Concrete</t>
        </is>
      </c>
      <c r="H170" s="14">
        <f>D170*'Parameters &amp; Inputs'!$B$15</f>
        <v/>
      </c>
      <c r="I170" s="21">
        <f>(4*SQRT(C170))*(B170*'Parameters &amp; Inputs'!$B$14)*E170*'Parameters &amp; Inputs'!$B$16</f>
        <v/>
      </c>
      <c r="J170" s="22">
        <f>((H170*IF(G170="Mass Timber",'Parameters &amp; Inputs'!$B$7,'Parameters &amp; Inputs'!$B$6)) + (I170*'Parameters &amp; Inputs'!$B$8))/1000</f>
        <v/>
      </c>
      <c r="K170" s="23">
        <f>MAX('Parameters &amp; Inputs'!$B$13, 'Parameters &amp; Inputs'!$B$9 + (E170*'Parameters &amp; Inputs'!$B$10) - (F170*'Parameters &amp; Inputs'!$B$11) - IF(G170="Concrete",'Parameters &amp; Inputs'!$B$12,0))</f>
        <v/>
      </c>
      <c r="L170" s="22">
        <f>(D170*K170*'Parameters &amp; Inputs'!$B$5*'Parameters &amp; Inputs'!$B$4)/1000</f>
        <v/>
      </c>
      <c r="M170" s="22">
        <f>J170+L170</f>
        <v/>
      </c>
      <c r="N170" s="14">
        <f>(M170*1000)/D170</f>
        <v/>
      </c>
      <c r="O170" s="11">
        <f>IF(COUNTIFS($J$2:$J$201, "&lt;"&amp;J170, $L$2:$L$201, "&lt;"&amp;L170)=0, "PARETO", "Sub-optimal")</f>
        <v/>
      </c>
    </row>
    <row r="171" ht="20" customHeight="1">
      <c r="A171" s="15" t="n">
        <v>170</v>
      </c>
      <c r="B171" s="17" t="n">
        <v>10</v>
      </c>
      <c r="C171" s="19" t="n">
        <v>1160.6</v>
      </c>
      <c r="D171" s="19">
        <f>B171*C171</f>
        <v/>
      </c>
      <c r="E171" s="18" t="n">
        <v>0.79</v>
      </c>
      <c r="F171" s="18" t="n">
        <v>0.6899999999999999</v>
      </c>
      <c r="G171" s="16" t="inlineStr">
        <is>
          <t>Mass Timber</t>
        </is>
      </c>
      <c r="H171" s="19">
        <f>D171*'Parameters &amp; Inputs'!$B$15</f>
        <v/>
      </c>
      <c r="I171" s="24">
        <f>(4*SQRT(C171))*(B171*'Parameters &amp; Inputs'!$B$14)*E171*'Parameters &amp; Inputs'!$B$16</f>
        <v/>
      </c>
      <c r="J171" s="25">
        <f>((H171*IF(G171="Mass Timber",'Parameters &amp; Inputs'!$B$7,'Parameters &amp; Inputs'!$B$6)) + (I171*'Parameters &amp; Inputs'!$B$8))/1000</f>
        <v/>
      </c>
      <c r="K171" s="26">
        <f>MAX('Parameters &amp; Inputs'!$B$13, 'Parameters &amp; Inputs'!$B$9 + (E171*'Parameters &amp; Inputs'!$B$10) - (F171*'Parameters &amp; Inputs'!$B$11) - IF(G171="Concrete",'Parameters &amp; Inputs'!$B$12,0))</f>
        <v/>
      </c>
      <c r="L171" s="25">
        <f>(D171*K171*'Parameters &amp; Inputs'!$B$5*'Parameters &amp; Inputs'!$B$4)/1000</f>
        <v/>
      </c>
      <c r="M171" s="25">
        <f>J171+L171</f>
        <v/>
      </c>
      <c r="N171" s="19">
        <f>(M171*1000)/D171</f>
        <v/>
      </c>
      <c r="O171" s="16">
        <f>IF(COUNTIFS($J$2:$J$201, "&lt;"&amp;J171, $L$2:$L$201, "&lt;"&amp;L171)=0, "PARETO", "Sub-optimal")</f>
        <v/>
      </c>
    </row>
    <row r="172" ht="20" customHeight="1">
      <c r="A172" s="10" t="n">
        <v>171</v>
      </c>
      <c r="B172" s="12" t="n">
        <v>11</v>
      </c>
      <c r="C172" s="14" t="n">
        <v>859.7</v>
      </c>
      <c r="D172" s="14">
        <f>B172*C172</f>
        <v/>
      </c>
      <c r="E172" s="13" t="n">
        <v>0.8</v>
      </c>
      <c r="F172" s="13" t="n">
        <v>0.75</v>
      </c>
      <c r="G172" s="11" t="inlineStr">
        <is>
          <t>Mass Timber</t>
        </is>
      </c>
      <c r="H172" s="14">
        <f>D172*'Parameters &amp; Inputs'!$B$15</f>
        <v/>
      </c>
      <c r="I172" s="21">
        <f>(4*SQRT(C172))*(B172*'Parameters &amp; Inputs'!$B$14)*E172*'Parameters &amp; Inputs'!$B$16</f>
        <v/>
      </c>
      <c r="J172" s="22">
        <f>((H172*IF(G172="Mass Timber",'Parameters &amp; Inputs'!$B$7,'Parameters &amp; Inputs'!$B$6)) + (I172*'Parameters &amp; Inputs'!$B$8))/1000</f>
        <v/>
      </c>
      <c r="K172" s="23">
        <f>MAX('Parameters &amp; Inputs'!$B$13, 'Parameters &amp; Inputs'!$B$9 + (E172*'Parameters &amp; Inputs'!$B$10) - (F172*'Parameters &amp; Inputs'!$B$11) - IF(G172="Concrete",'Parameters &amp; Inputs'!$B$12,0))</f>
        <v/>
      </c>
      <c r="L172" s="22">
        <f>(D172*K172*'Parameters &amp; Inputs'!$B$5*'Parameters &amp; Inputs'!$B$4)/1000</f>
        <v/>
      </c>
      <c r="M172" s="22">
        <f>J172+L172</f>
        <v/>
      </c>
      <c r="N172" s="14">
        <f>(M172*1000)/D172</f>
        <v/>
      </c>
      <c r="O172" s="11">
        <f>IF(COUNTIFS($J$2:$J$201, "&lt;"&amp;J172, $L$2:$L$201, "&lt;"&amp;L172)=0, "PARETO", "Sub-optimal")</f>
        <v/>
      </c>
    </row>
    <row r="173" ht="20" customHeight="1">
      <c r="A173" s="15" t="n">
        <v>172</v>
      </c>
      <c r="B173" s="17" t="n">
        <v>12</v>
      </c>
      <c r="C173" s="19" t="n">
        <v>1098.8</v>
      </c>
      <c r="D173" s="19">
        <f>B173*C173</f>
        <v/>
      </c>
      <c r="E173" s="18" t="n">
        <v>0.68</v>
      </c>
      <c r="F173" s="18" t="n">
        <v>0.52</v>
      </c>
      <c r="G173" s="16" t="inlineStr">
        <is>
          <t>Concrete</t>
        </is>
      </c>
      <c r="H173" s="19">
        <f>D173*'Parameters &amp; Inputs'!$B$15</f>
        <v/>
      </c>
      <c r="I173" s="24">
        <f>(4*SQRT(C173))*(B173*'Parameters &amp; Inputs'!$B$14)*E173*'Parameters &amp; Inputs'!$B$16</f>
        <v/>
      </c>
      <c r="J173" s="25">
        <f>((H173*IF(G173="Mass Timber",'Parameters &amp; Inputs'!$B$7,'Parameters &amp; Inputs'!$B$6)) + (I173*'Parameters &amp; Inputs'!$B$8))/1000</f>
        <v/>
      </c>
      <c r="K173" s="26">
        <f>MAX('Parameters &amp; Inputs'!$B$13, 'Parameters &amp; Inputs'!$B$9 + (E173*'Parameters &amp; Inputs'!$B$10) - (F173*'Parameters &amp; Inputs'!$B$11) - IF(G173="Concrete",'Parameters &amp; Inputs'!$B$12,0))</f>
        <v/>
      </c>
      <c r="L173" s="25">
        <f>(D173*K173*'Parameters &amp; Inputs'!$B$5*'Parameters &amp; Inputs'!$B$4)/1000</f>
        <v/>
      </c>
      <c r="M173" s="25">
        <f>J173+L173</f>
        <v/>
      </c>
      <c r="N173" s="19">
        <f>(M173*1000)/D173</f>
        <v/>
      </c>
      <c r="O173" s="16">
        <f>IF(COUNTIFS($J$2:$J$201, "&lt;"&amp;J173, $L$2:$L$201, "&lt;"&amp;L173)=0, "PARETO", "Sub-optimal")</f>
        <v/>
      </c>
    </row>
    <row r="174" ht="20" customHeight="1">
      <c r="A174" s="10" t="n">
        <v>173</v>
      </c>
      <c r="B174" s="12" t="n">
        <v>6</v>
      </c>
      <c r="C174" s="14" t="n">
        <v>825.6</v>
      </c>
      <c r="D174" s="14">
        <f>B174*C174</f>
        <v/>
      </c>
      <c r="E174" s="13" t="n">
        <v>0.48</v>
      </c>
      <c r="F174" s="13" t="n">
        <v>0.85</v>
      </c>
      <c r="G174" s="11" t="inlineStr">
        <is>
          <t>Concrete</t>
        </is>
      </c>
      <c r="H174" s="14">
        <f>D174*'Parameters &amp; Inputs'!$B$15</f>
        <v/>
      </c>
      <c r="I174" s="21">
        <f>(4*SQRT(C174))*(B174*'Parameters &amp; Inputs'!$B$14)*E174*'Parameters &amp; Inputs'!$B$16</f>
        <v/>
      </c>
      <c r="J174" s="22">
        <f>((H174*IF(G174="Mass Timber",'Parameters &amp; Inputs'!$B$7,'Parameters &amp; Inputs'!$B$6)) + (I174*'Parameters &amp; Inputs'!$B$8))/1000</f>
        <v/>
      </c>
      <c r="K174" s="23">
        <f>MAX('Parameters &amp; Inputs'!$B$13, 'Parameters &amp; Inputs'!$B$9 + (E174*'Parameters &amp; Inputs'!$B$10) - (F174*'Parameters &amp; Inputs'!$B$11) - IF(G174="Concrete",'Parameters &amp; Inputs'!$B$12,0))</f>
        <v/>
      </c>
      <c r="L174" s="22">
        <f>(D174*K174*'Parameters &amp; Inputs'!$B$5*'Parameters &amp; Inputs'!$B$4)/1000</f>
        <v/>
      </c>
      <c r="M174" s="22">
        <f>J174+L174</f>
        <v/>
      </c>
      <c r="N174" s="14">
        <f>(M174*1000)/D174</f>
        <v/>
      </c>
      <c r="O174" s="11">
        <f>IF(COUNTIFS($J$2:$J$201, "&lt;"&amp;J174, $L$2:$L$201, "&lt;"&amp;L174)=0, "PARETO", "Sub-optimal")</f>
        <v/>
      </c>
    </row>
    <row r="175" ht="20" customHeight="1">
      <c r="A175" s="15" t="n">
        <v>174</v>
      </c>
      <c r="B175" s="17" t="n">
        <v>8</v>
      </c>
      <c r="C175" s="19" t="n">
        <v>1117.3</v>
      </c>
      <c r="D175" s="19">
        <f>B175*C175</f>
        <v/>
      </c>
      <c r="E175" s="18" t="n">
        <v>0.51</v>
      </c>
      <c r="F175" s="18" t="n">
        <v>0.66</v>
      </c>
      <c r="G175" s="16" t="inlineStr">
        <is>
          <t>Concrete</t>
        </is>
      </c>
      <c r="H175" s="19">
        <f>D175*'Parameters &amp; Inputs'!$B$15</f>
        <v/>
      </c>
      <c r="I175" s="24">
        <f>(4*SQRT(C175))*(B175*'Parameters &amp; Inputs'!$B$14)*E175*'Parameters &amp; Inputs'!$B$16</f>
        <v/>
      </c>
      <c r="J175" s="25">
        <f>((H175*IF(G175="Mass Timber",'Parameters &amp; Inputs'!$B$7,'Parameters &amp; Inputs'!$B$6)) + (I175*'Parameters &amp; Inputs'!$B$8))/1000</f>
        <v/>
      </c>
      <c r="K175" s="26">
        <f>MAX('Parameters &amp; Inputs'!$B$13, 'Parameters &amp; Inputs'!$B$9 + (E175*'Parameters &amp; Inputs'!$B$10) - (F175*'Parameters &amp; Inputs'!$B$11) - IF(G175="Concrete",'Parameters &amp; Inputs'!$B$12,0))</f>
        <v/>
      </c>
      <c r="L175" s="25">
        <f>(D175*K175*'Parameters &amp; Inputs'!$B$5*'Parameters &amp; Inputs'!$B$4)/1000</f>
        <v/>
      </c>
      <c r="M175" s="25">
        <f>J175+L175</f>
        <v/>
      </c>
      <c r="N175" s="19">
        <f>(M175*1000)/D175</f>
        <v/>
      </c>
      <c r="O175" s="16">
        <f>IF(COUNTIFS($J$2:$J$201, "&lt;"&amp;J175, $L$2:$L$201, "&lt;"&amp;L175)=0, "PARETO", "Sub-optimal")</f>
        <v/>
      </c>
    </row>
    <row r="176" ht="20" customHeight="1">
      <c r="A176" s="10" t="n">
        <v>175</v>
      </c>
      <c r="B176" s="12" t="n">
        <v>11</v>
      </c>
      <c r="C176" s="14" t="n">
        <v>1335.7</v>
      </c>
      <c r="D176" s="14">
        <f>B176*C176</f>
        <v/>
      </c>
      <c r="E176" s="13" t="n">
        <v>0.26</v>
      </c>
      <c r="F176" s="13" t="n">
        <v>0.5</v>
      </c>
      <c r="G176" s="11" t="inlineStr">
        <is>
          <t>Concrete</t>
        </is>
      </c>
      <c r="H176" s="14">
        <f>D176*'Parameters &amp; Inputs'!$B$15</f>
        <v/>
      </c>
      <c r="I176" s="21">
        <f>(4*SQRT(C176))*(B176*'Parameters &amp; Inputs'!$B$14)*E176*'Parameters &amp; Inputs'!$B$16</f>
        <v/>
      </c>
      <c r="J176" s="22">
        <f>((H176*IF(G176="Mass Timber",'Parameters &amp; Inputs'!$B$7,'Parameters &amp; Inputs'!$B$6)) + (I176*'Parameters &amp; Inputs'!$B$8))/1000</f>
        <v/>
      </c>
      <c r="K176" s="23">
        <f>MAX('Parameters &amp; Inputs'!$B$13, 'Parameters &amp; Inputs'!$B$9 + (E176*'Parameters &amp; Inputs'!$B$10) - (F176*'Parameters &amp; Inputs'!$B$11) - IF(G176="Concrete",'Parameters &amp; Inputs'!$B$12,0))</f>
        <v/>
      </c>
      <c r="L176" s="22">
        <f>(D176*K176*'Parameters &amp; Inputs'!$B$5*'Parameters &amp; Inputs'!$B$4)/1000</f>
        <v/>
      </c>
      <c r="M176" s="22">
        <f>J176+L176</f>
        <v/>
      </c>
      <c r="N176" s="14">
        <f>(M176*1000)/D176</f>
        <v/>
      </c>
      <c r="O176" s="11">
        <f>IF(COUNTIFS($J$2:$J$201, "&lt;"&amp;J176, $L$2:$L$201, "&lt;"&amp;L176)=0, "PARETO", "Sub-optimal")</f>
        <v/>
      </c>
    </row>
    <row r="177" ht="20" customHeight="1">
      <c r="A177" s="15" t="n">
        <v>176</v>
      </c>
      <c r="B177" s="17" t="n">
        <v>8</v>
      </c>
      <c r="C177" s="19" t="n">
        <v>1061.3</v>
      </c>
      <c r="D177" s="19">
        <f>B177*C177</f>
        <v/>
      </c>
      <c r="E177" s="18" t="n">
        <v>0.36</v>
      </c>
      <c r="F177" s="18" t="n">
        <v>0.97</v>
      </c>
      <c r="G177" s="16" t="inlineStr">
        <is>
          <t>Concrete</t>
        </is>
      </c>
      <c r="H177" s="19">
        <f>D177*'Parameters &amp; Inputs'!$B$15</f>
        <v/>
      </c>
      <c r="I177" s="24">
        <f>(4*SQRT(C177))*(B177*'Parameters &amp; Inputs'!$B$14)*E177*'Parameters &amp; Inputs'!$B$16</f>
        <v/>
      </c>
      <c r="J177" s="25">
        <f>((H177*IF(G177="Mass Timber",'Parameters &amp; Inputs'!$B$7,'Parameters &amp; Inputs'!$B$6)) + (I177*'Parameters &amp; Inputs'!$B$8))/1000</f>
        <v/>
      </c>
      <c r="K177" s="26">
        <f>MAX('Parameters &amp; Inputs'!$B$13, 'Parameters &amp; Inputs'!$B$9 + (E177*'Parameters &amp; Inputs'!$B$10) - (F177*'Parameters &amp; Inputs'!$B$11) - IF(G177="Concrete",'Parameters &amp; Inputs'!$B$12,0))</f>
        <v/>
      </c>
      <c r="L177" s="25">
        <f>(D177*K177*'Parameters &amp; Inputs'!$B$5*'Parameters &amp; Inputs'!$B$4)/1000</f>
        <v/>
      </c>
      <c r="M177" s="25">
        <f>J177+L177</f>
        <v/>
      </c>
      <c r="N177" s="19">
        <f>(M177*1000)/D177</f>
        <v/>
      </c>
      <c r="O177" s="16">
        <f>IF(COUNTIFS($J$2:$J$201, "&lt;"&amp;J177, $L$2:$L$201, "&lt;"&amp;L177)=0, "PARETO", "Sub-optimal")</f>
        <v/>
      </c>
    </row>
    <row r="178" ht="20" customHeight="1">
      <c r="A178" s="10" t="n">
        <v>177</v>
      </c>
      <c r="B178" s="12" t="n">
        <v>12</v>
      </c>
      <c r="C178" s="14" t="n">
        <v>1485.3</v>
      </c>
      <c r="D178" s="14">
        <f>B178*C178</f>
        <v/>
      </c>
      <c r="E178" s="13" t="n">
        <v>0.7</v>
      </c>
      <c r="F178" s="13" t="n">
        <v>1.3</v>
      </c>
      <c r="G178" s="11" t="inlineStr">
        <is>
          <t>Concrete</t>
        </is>
      </c>
      <c r="H178" s="14">
        <f>D178*'Parameters &amp; Inputs'!$B$15</f>
        <v/>
      </c>
      <c r="I178" s="21">
        <f>(4*SQRT(C178))*(B178*'Parameters &amp; Inputs'!$B$14)*E178*'Parameters &amp; Inputs'!$B$16</f>
        <v/>
      </c>
      <c r="J178" s="22">
        <f>((H178*IF(G178="Mass Timber",'Parameters &amp; Inputs'!$B$7,'Parameters &amp; Inputs'!$B$6)) + (I178*'Parameters &amp; Inputs'!$B$8))/1000</f>
        <v/>
      </c>
      <c r="K178" s="23">
        <f>MAX('Parameters &amp; Inputs'!$B$13, 'Parameters &amp; Inputs'!$B$9 + (E178*'Parameters &amp; Inputs'!$B$10) - (F178*'Parameters &amp; Inputs'!$B$11) - IF(G178="Concrete",'Parameters &amp; Inputs'!$B$12,0))</f>
        <v/>
      </c>
      <c r="L178" s="22">
        <f>(D178*K178*'Parameters &amp; Inputs'!$B$5*'Parameters &amp; Inputs'!$B$4)/1000</f>
        <v/>
      </c>
      <c r="M178" s="22">
        <f>J178+L178</f>
        <v/>
      </c>
      <c r="N178" s="14">
        <f>(M178*1000)/D178</f>
        <v/>
      </c>
      <c r="O178" s="11">
        <f>IF(COUNTIFS($J$2:$J$201, "&lt;"&amp;J178, $L$2:$L$201, "&lt;"&amp;L178)=0, "PARETO", "Sub-optimal")</f>
        <v/>
      </c>
    </row>
    <row r="179" ht="20" customHeight="1">
      <c r="A179" s="15" t="n">
        <v>178</v>
      </c>
      <c r="B179" s="17" t="n">
        <v>14</v>
      </c>
      <c r="C179" s="19" t="n">
        <v>955.4</v>
      </c>
      <c r="D179" s="19">
        <f>B179*C179</f>
        <v/>
      </c>
      <c r="E179" s="18" t="n">
        <v>0.34</v>
      </c>
      <c r="F179" s="18" t="n">
        <v>1.01</v>
      </c>
      <c r="G179" s="16" t="inlineStr">
        <is>
          <t>Concrete</t>
        </is>
      </c>
      <c r="H179" s="19">
        <f>D179*'Parameters &amp; Inputs'!$B$15</f>
        <v/>
      </c>
      <c r="I179" s="24">
        <f>(4*SQRT(C179))*(B179*'Parameters &amp; Inputs'!$B$14)*E179*'Parameters &amp; Inputs'!$B$16</f>
        <v/>
      </c>
      <c r="J179" s="25">
        <f>((H179*IF(G179="Mass Timber",'Parameters &amp; Inputs'!$B$7,'Parameters &amp; Inputs'!$B$6)) + (I179*'Parameters &amp; Inputs'!$B$8))/1000</f>
        <v/>
      </c>
      <c r="K179" s="26">
        <f>MAX('Parameters &amp; Inputs'!$B$13, 'Parameters &amp; Inputs'!$B$9 + (E179*'Parameters &amp; Inputs'!$B$10) - (F179*'Parameters &amp; Inputs'!$B$11) - IF(G179="Concrete",'Parameters &amp; Inputs'!$B$12,0))</f>
        <v/>
      </c>
      <c r="L179" s="25">
        <f>(D179*K179*'Parameters &amp; Inputs'!$B$5*'Parameters &amp; Inputs'!$B$4)/1000</f>
        <v/>
      </c>
      <c r="M179" s="25">
        <f>J179+L179</f>
        <v/>
      </c>
      <c r="N179" s="19">
        <f>(M179*1000)/D179</f>
        <v/>
      </c>
      <c r="O179" s="16">
        <f>IF(COUNTIFS($J$2:$J$201, "&lt;"&amp;J179, $L$2:$L$201, "&lt;"&amp;L179)=0, "PARETO", "Sub-optimal")</f>
        <v/>
      </c>
    </row>
    <row r="180" ht="20" customHeight="1">
      <c r="A180" s="10" t="n">
        <v>179</v>
      </c>
      <c r="B180" s="12" t="n">
        <v>11</v>
      </c>
      <c r="C180" s="14" t="n">
        <v>1037.5</v>
      </c>
      <c r="D180" s="14">
        <f>B180*C180</f>
        <v/>
      </c>
      <c r="E180" s="13" t="n">
        <v>0.54</v>
      </c>
      <c r="F180" s="13" t="n">
        <v>1.33</v>
      </c>
      <c r="G180" s="11" t="inlineStr">
        <is>
          <t>Mass Timber</t>
        </is>
      </c>
      <c r="H180" s="14">
        <f>D180*'Parameters &amp; Inputs'!$B$15</f>
        <v/>
      </c>
      <c r="I180" s="21">
        <f>(4*SQRT(C180))*(B180*'Parameters &amp; Inputs'!$B$14)*E180*'Parameters &amp; Inputs'!$B$16</f>
        <v/>
      </c>
      <c r="J180" s="22">
        <f>((H180*IF(G180="Mass Timber",'Parameters &amp; Inputs'!$B$7,'Parameters &amp; Inputs'!$B$6)) + (I180*'Parameters &amp; Inputs'!$B$8))/1000</f>
        <v/>
      </c>
      <c r="K180" s="23">
        <f>MAX('Parameters &amp; Inputs'!$B$13, 'Parameters &amp; Inputs'!$B$9 + (E180*'Parameters &amp; Inputs'!$B$10) - (F180*'Parameters &amp; Inputs'!$B$11) - IF(G180="Concrete",'Parameters &amp; Inputs'!$B$12,0))</f>
        <v/>
      </c>
      <c r="L180" s="22">
        <f>(D180*K180*'Parameters &amp; Inputs'!$B$5*'Parameters &amp; Inputs'!$B$4)/1000</f>
        <v/>
      </c>
      <c r="M180" s="22">
        <f>J180+L180</f>
        <v/>
      </c>
      <c r="N180" s="14">
        <f>(M180*1000)/D180</f>
        <v/>
      </c>
      <c r="O180" s="11">
        <f>IF(COUNTIFS($J$2:$J$201, "&lt;"&amp;J180, $L$2:$L$201, "&lt;"&amp;L180)=0, "PARETO", "Sub-optimal")</f>
        <v/>
      </c>
    </row>
    <row r="181" ht="20" customHeight="1">
      <c r="A181" s="15" t="n">
        <v>180</v>
      </c>
      <c r="B181" s="17" t="n">
        <v>13</v>
      </c>
      <c r="C181" s="19" t="n">
        <v>869.6</v>
      </c>
      <c r="D181" s="19">
        <f>B181*C181</f>
        <v/>
      </c>
      <c r="E181" s="18" t="n">
        <v>0.35</v>
      </c>
      <c r="F181" s="18" t="n">
        <v>1.08</v>
      </c>
      <c r="G181" s="16" t="inlineStr">
        <is>
          <t>Mass Timber</t>
        </is>
      </c>
      <c r="H181" s="19">
        <f>D181*'Parameters &amp; Inputs'!$B$15</f>
        <v/>
      </c>
      <c r="I181" s="24">
        <f>(4*SQRT(C181))*(B181*'Parameters &amp; Inputs'!$B$14)*E181*'Parameters &amp; Inputs'!$B$16</f>
        <v/>
      </c>
      <c r="J181" s="25">
        <f>((H181*IF(G181="Mass Timber",'Parameters &amp; Inputs'!$B$7,'Parameters &amp; Inputs'!$B$6)) + (I181*'Parameters &amp; Inputs'!$B$8))/1000</f>
        <v/>
      </c>
      <c r="K181" s="26">
        <f>MAX('Parameters &amp; Inputs'!$B$13, 'Parameters &amp; Inputs'!$B$9 + (E181*'Parameters &amp; Inputs'!$B$10) - (F181*'Parameters &amp; Inputs'!$B$11) - IF(G181="Concrete",'Parameters &amp; Inputs'!$B$12,0))</f>
        <v/>
      </c>
      <c r="L181" s="25">
        <f>(D181*K181*'Parameters &amp; Inputs'!$B$5*'Parameters &amp; Inputs'!$B$4)/1000</f>
        <v/>
      </c>
      <c r="M181" s="25">
        <f>J181+L181</f>
        <v/>
      </c>
      <c r="N181" s="19">
        <f>(M181*1000)/D181</f>
        <v/>
      </c>
      <c r="O181" s="16">
        <f>IF(COUNTIFS($J$2:$J$201, "&lt;"&amp;J181, $L$2:$L$201, "&lt;"&amp;L181)=0, "PARETO", "Sub-optimal")</f>
        <v/>
      </c>
    </row>
    <row r="182" ht="20" customHeight="1">
      <c r="A182" s="10" t="n">
        <v>181</v>
      </c>
      <c r="B182" s="12" t="n">
        <v>9</v>
      </c>
      <c r="C182" s="14" t="n">
        <v>1461.1</v>
      </c>
      <c r="D182" s="14">
        <f>B182*C182</f>
        <v/>
      </c>
      <c r="E182" s="13" t="n">
        <v>0.28</v>
      </c>
      <c r="F182" s="13" t="n">
        <v>0.61</v>
      </c>
      <c r="G182" s="11" t="inlineStr">
        <is>
          <t>Concrete</t>
        </is>
      </c>
      <c r="H182" s="14">
        <f>D182*'Parameters &amp; Inputs'!$B$15</f>
        <v/>
      </c>
      <c r="I182" s="21">
        <f>(4*SQRT(C182))*(B182*'Parameters &amp; Inputs'!$B$14)*E182*'Parameters &amp; Inputs'!$B$16</f>
        <v/>
      </c>
      <c r="J182" s="22">
        <f>((H182*IF(G182="Mass Timber",'Parameters &amp; Inputs'!$B$7,'Parameters &amp; Inputs'!$B$6)) + (I182*'Parameters &amp; Inputs'!$B$8))/1000</f>
        <v/>
      </c>
      <c r="K182" s="23">
        <f>MAX('Parameters &amp; Inputs'!$B$13, 'Parameters &amp; Inputs'!$B$9 + (E182*'Parameters &amp; Inputs'!$B$10) - (F182*'Parameters &amp; Inputs'!$B$11) - IF(G182="Concrete",'Parameters &amp; Inputs'!$B$12,0))</f>
        <v/>
      </c>
      <c r="L182" s="22">
        <f>(D182*K182*'Parameters &amp; Inputs'!$B$5*'Parameters &amp; Inputs'!$B$4)/1000</f>
        <v/>
      </c>
      <c r="M182" s="22">
        <f>J182+L182</f>
        <v/>
      </c>
      <c r="N182" s="14">
        <f>(M182*1000)/D182</f>
        <v/>
      </c>
      <c r="O182" s="11">
        <f>IF(COUNTIFS($J$2:$J$201, "&lt;"&amp;J182, $L$2:$L$201, "&lt;"&amp;L182)=0, "PARETO", "Sub-optimal")</f>
        <v/>
      </c>
    </row>
    <row r="183" ht="20" customHeight="1">
      <c r="A183" s="15" t="n">
        <v>182</v>
      </c>
      <c r="B183" s="17" t="n">
        <v>7</v>
      </c>
      <c r="C183" s="19" t="n">
        <v>809.1</v>
      </c>
      <c r="D183" s="19">
        <f>B183*C183</f>
        <v/>
      </c>
      <c r="E183" s="18" t="n">
        <v>0.25</v>
      </c>
      <c r="F183" s="18" t="n">
        <v>0.31</v>
      </c>
      <c r="G183" s="16" t="inlineStr">
        <is>
          <t>Concrete</t>
        </is>
      </c>
      <c r="H183" s="19">
        <f>D183*'Parameters &amp; Inputs'!$B$15</f>
        <v/>
      </c>
      <c r="I183" s="24">
        <f>(4*SQRT(C183))*(B183*'Parameters &amp; Inputs'!$B$14)*E183*'Parameters &amp; Inputs'!$B$16</f>
        <v/>
      </c>
      <c r="J183" s="25">
        <f>((H183*IF(G183="Mass Timber",'Parameters &amp; Inputs'!$B$7,'Parameters &amp; Inputs'!$B$6)) + (I183*'Parameters &amp; Inputs'!$B$8))/1000</f>
        <v/>
      </c>
      <c r="K183" s="26">
        <f>MAX('Parameters &amp; Inputs'!$B$13, 'Parameters &amp; Inputs'!$B$9 + (E183*'Parameters &amp; Inputs'!$B$10) - (F183*'Parameters &amp; Inputs'!$B$11) - IF(G183="Concrete",'Parameters &amp; Inputs'!$B$12,0))</f>
        <v/>
      </c>
      <c r="L183" s="25">
        <f>(D183*K183*'Parameters &amp; Inputs'!$B$5*'Parameters &amp; Inputs'!$B$4)/1000</f>
        <v/>
      </c>
      <c r="M183" s="25">
        <f>J183+L183</f>
        <v/>
      </c>
      <c r="N183" s="19">
        <f>(M183*1000)/D183</f>
        <v/>
      </c>
      <c r="O183" s="16">
        <f>IF(COUNTIFS($J$2:$J$201, "&lt;"&amp;J183, $L$2:$L$201, "&lt;"&amp;L183)=0, "PARETO", "Sub-optimal")</f>
        <v/>
      </c>
    </row>
    <row r="184" ht="20" customHeight="1">
      <c r="A184" s="10" t="n">
        <v>183</v>
      </c>
      <c r="B184" s="12" t="n">
        <v>8</v>
      </c>
      <c r="C184" s="14" t="n">
        <v>1208.1</v>
      </c>
      <c r="D184" s="14">
        <f>B184*C184</f>
        <v/>
      </c>
      <c r="E184" s="13" t="n">
        <v>0.45</v>
      </c>
      <c r="F184" s="13" t="n">
        <v>1.34</v>
      </c>
      <c r="G184" s="11" t="inlineStr">
        <is>
          <t>Mass Timber</t>
        </is>
      </c>
      <c r="H184" s="14">
        <f>D184*'Parameters &amp; Inputs'!$B$15</f>
        <v/>
      </c>
      <c r="I184" s="21">
        <f>(4*SQRT(C184))*(B184*'Parameters &amp; Inputs'!$B$14)*E184*'Parameters &amp; Inputs'!$B$16</f>
        <v/>
      </c>
      <c r="J184" s="22">
        <f>((H184*IF(G184="Mass Timber",'Parameters &amp; Inputs'!$B$7,'Parameters &amp; Inputs'!$B$6)) + (I184*'Parameters &amp; Inputs'!$B$8))/1000</f>
        <v/>
      </c>
      <c r="K184" s="23">
        <f>MAX('Parameters &amp; Inputs'!$B$13, 'Parameters &amp; Inputs'!$B$9 + (E184*'Parameters &amp; Inputs'!$B$10) - (F184*'Parameters &amp; Inputs'!$B$11) - IF(G184="Concrete",'Parameters &amp; Inputs'!$B$12,0))</f>
        <v/>
      </c>
      <c r="L184" s="22">
        <f>(D184*K184*'Parameters &amp; Inputs'!$B$5*'Parameters &amp; Inputs'!$B$4)/1000</f>
        <v/>
      </c>
      <c r="M184" s="22">
        <f>J184+L184</f>
        <v/>
      </c>
      <c r="N184" s="14">
        <f>(M184*1000)/D184</f>
        <v/>
      </c>
      <c r="O184" s="11">
        <f>IF(COUNTIFS($J$2:$J$201, "&lt;"&amp;J184, $L$2:$L$201, "&lt;"&amp;L184)=0, "PARETO", "Sub-optimal")</f>
        <v/>
      </c>
    </row>
    <row r="185" ht="20" customHeight="1">
      <c r="A185" s="15" t="n">
        <v>184</v>
      </c>
      <c r="B185" s="17" t="n">
        <v>9</v>
      </c>
      <c r="C185" s="19" t="n">
        <v>1035.1</v>
      </c>
      <c r="D185" s="19">
        <f>B185*C185</f>
        <v/>
      </c>
      <c r="E185" s="18" t="n">
        <v>0.7</v>
      </c>
      <c r="F185" s="18" t="n">
        <v>0.54</v>
      </c>
      <c r="G185" s="16" t="inlineStr">
        <is>
          <t>Concrete</t>
        </is>
      </c>
      <c r="H185" s="19">
        <f>D185*'Parameters &amp; Inputs'!$B$15</f>
        <v/>
      </c>
      <c r="I185" s="24">
        <f>(4*SQRT(C185))*(B185*'Parameters &amp; Inputs'!$B$14)*E185*'Parameters &amp; Inputs'!$B$16</f>
        <v/>
      </c>
      <c r="J185" s="25">
        <f>((H185*IF(G185="Mass Timber",'Parameters &amp; Inputs'!$B$7,'Parameters &amp; Inputs'!$B$6)) + (I185*'Parameters &amp; Inputs'!$B$8))/1000</f>
        <v/>
      </c>
      <c r="K185" s="26">
        <f>MAX('Parameters &amp; Inputs'!$B$13, 'Parameters &amp; Inputs'!$B$9 + (E185*'Parameters &amp; Inputs'!$B$10) - (F185*'Parameters &amp; Inputs'!$B$11) - IF(G185="Concrete",'Parameters &amp; Inputs'!$B$12,0))</f>
        <v/>
      </c>
      <c r="L185" s="25">
        <f>(D185*K185*'Parameters &amp; Inputs'!$B$5*'Parameters &amp; Inputs'!$B$4)/1000</f>
        <v/>
      </c>
      <c r="M185" s="25">
        <f>J185+L185</f>
        <v/>
      </c>
      <c r="N185" s="19">
        <f>(M185*1000)/D185</f>
        <v/>
      </c>
      <c r="O185" s="16">
        <f>IF(COUNTIFS($J$2:$J$201, "&lt;"&amp;J185, $L$2:$L$201, "&lt;"&amp;L185)=0, "PARETO", "Sub-optimal")</f>
        <v/>
      </c>
    </row>
    <row r="186" ht="20" customHeight="1">
      <c r="A186" s="10" t="n">
        <v>185</v>
      </c>
      <c r="B186" s="12" t="n">
        <v>9</v>
      </c>
      <c r="C186" s="14" t="n">
        <v>1236.9</v>
      </c>
      <c r="D186" s="14">
        <f>B186*C186</f>
        <v/>
      </c>
      <c r="E186" s="13" t="n">
        <v>0.45</v>
      </c>
      <c r="F186" s="13" t="n">
        <v>0.83</v>
      </c>
      <c r="G186" s="11" t="inlineStr">
        <is>
          <t>Concrete</t>
        </is>
      </c>
      <c r="H186" s="14">
        <f>D186*'Parameters &amp; Inputs'!$B$15</f>
        <v/>
      </c>
      <c r="I186" s="21">
        <f>(4*SQRT(C186))*(B186*'Parameters &amp; Inputs'!$B$14)*E186*'Parameters &amp; Inputs'!$B$16</f>
        <v/>
      </c>
      <c r="J186" s="22">
        <f>((H186*IF(G186="Mass Timber",'Parameters &amp; Inputs'!$B$7,'Parameters &amp; Inputs'!$B$6)) + (I186*'Parameters &amp; Inputs'!$B$8))/1000</f>
        <v/>
      </c>
      <c r="K186" s="23">
        <f>MAX('Parameters &amp; Inputs'!$B$13, 'Parameters &amp; Inputs'!$B$9 + (E186*'Parameters &amp; Inputs'!$B$10) - (F186*'Parameters &amp; Inputs'!$B$11) - IF(G186="Concrete",'Parameters &amp; Inputs'!$B$12,0))</f>
        <v/>
      </c>
      <c r="L186" s="22">
        <f>(D186*K186*'Parameters &amp; Inputs'!$B$5*'Parameters &amp; Inputs'!$B$4)/1000</f>
        <v/>
      </c>
      <c r="M186" s="22">
        <f>J186+L186</f>
        <v/>
      </c>
      <c r="N186" s="14">
        <f>(M186*1000)/D186</f>
        <v/>
      </c>
      <c r="O186" s="11">
        <f>IF(COUNTIFS($J$2:$J$201, "&lt;"&amp;J186, $L$2:$L$201, "&lt;"&amp;L186)=0, "PARETO", "Sub-optimal")</f>
        <v/>
      </c>
    </row>
    <row r="187" ht="20" customHeight="1">
      <c r="A187" s="15" t="n">
        <v>186</v>
      </c>
      <c r="B187" s="17" t="n">
        <v>8</v>
      </c>
      <c r="C187" s="19" t="n">
        <v>1463.9</v>
      </c>
      <c r="D187" s="19">
        <f>B187*C187</f>
        <v/>
      </c>
      <c r="E187" s="18" t="n">
        <v>0.66</v>
      </c>
      <c r="F187" s="18" t="n">
        <v>0.21</v>
      </c>
      <c r="G187" s="16" t="inlineStr">
        <is>
          <t>Mass Timber</t>
        </is>
      </c>
      <c r="H187" s="19">
        <f>D187*'Parameters &amp; Inputs'!$B$15</f>
        <v/>
      </c>
      <c r="I187" s="24">
        <f>(4*SQRT(C187))*(B187*'Parameters &amp; Inputs'!$B$14)*E187*'Parameters &amp; Inputs'!$B$16</f>
        <v/>
      </c>
      <c r="J187" s="25">
        <f>((H187*IF(G187="Mass Timber",'Parameters &amp; Inputs'!$B$7,'Parameters &amp; Inputs'!$B$6)) + (I187*'Parameters &amp; Inputs'!$B$8))/1000</f>
        <v/>
      </c>
      <c r="K187" s="26">
        <f>MAX('Parameters &amp; Inputs'!$B$13, 'Parameters &amp; Inputs'!$B$9 + (E187*'Parameters &amp; Inputs'!$B$10) - (F187*'Parameters &amp; Inputs'!$B$11) - IF(G187="Concrete",'Parameters &amp; Inputs'!$B$12,0))</f>
        <v/>
      </c>
      <c r="L187" s="25">
        <f>(D187*K187*'Parameters &amp; Inputs'!$B$5*'Parameters &amp; Inputs'!$B$4)/1000</f>
        <v/>
      </c>
      <c r="M187" s="25">
        <f>J187+L187</f>
        <v/>
      </c>
      <c r="N187" s="19">
        <f>(M187*1000)/D187</f>
        <v/>
      </c>
      <c r="O187" s="16">
        <f>IF(COUNTIFS($J$2:$J$201, "&lt;"&amp;J187, $L$2:$L$201, "&lt;"&amp;L187)=0, "PARETO", "Sub-optimal")</f>
        <v/>
      </c>
    </row>
    <row r="188" ht="20" customHeight="1">
      <c r="A188" s="10" t="n">
        <v>187</v>
      </c>
      <c r="B188" s="12" t="n">
        <v>13</v>
      </c>
      <c r="C188" s="14" t="n">
        <v>1489.8</v>
      </c>
      <c r="D188" s="14">
        <f>B188*C188</f>
        <v/>
      </c>
      <c r="E188" s="13" t="n">
        <v>0.48</v>
      </c>
      <c r="F188" s="13" t="n">
        <v>0.27</v>
      </c>
      <c r="G188" s="11" t="inlineStr">
        <is>
          <t>Concrete</t>
        </is>
      </c>
      <c r="H188" s="14">
        <f>D188*'Parameters &amp; Inputs'!$B$15</f>
        <v/>
      </c>
      <c r="I188" s="21">
        <f>(4*SQRT(C188))*(B188*'Parameters &amp; Inputs'!$B$14)*E188*'Parameters &amp; Inputs'!$B$16</f>
        <v/>
      </c>
      <c r="J188" s="22">
        <f>((H188*IF(G188="Mass Timber",'Parameters &amp; Inputs'!$B$7,'Parameters &amp; Inputs'!$B$6)) + (I188*'Parameters &amp; Inputs'!$B$8))/1000</f>
        <v/>
      </c>
      <c r="K188" s="23">
        <f>MAX('Parameters &amp; Inputs'!$B$13, 'Parameters &amp; Inputs'!$B$9 + (E188*'Parameters &amp; Inputs'!$B$10) - (F188*'Parameters &amp; Inputs'!$B$11) - IF(G188="Concrete",'Parameters &amp; Inputs'!$B$12,0))</f>
        <v/>
      </c>
      <c r="L188" s="22">
        <f>(D188*K188*'Parameters &amp; Inputs'!$B$5*'Parameters &amp; Inputs'!$B$4)/1000</f>
        <v/>
      </c>
      <c r="M188" s="22">
        <f>J188+L188</f>
        <v/>
      </c>
      <c r="N188" s="14">
        <f>(M188*1000)/D188</f>
        <v/>
      </c>
      <c r="O188" s="11">
        <f>IF(COUNTIFS($J$2:$J$201, "&lt;"&amp;J188, $L$2:$L$201, "&lt;"&amp;L188)=0, "PARETO", "Sub-optimal")</f>
        <v/>
      </c>
    </row>
    <row r="189" ht="20" customHeight="1">
      <c r="A189" s="15" t="n">
        <v>188</v>
      </c>
      <c r="B189" s="17" t="n">
        <v>6</v>
      </c>
      <c r="C189" s="19" t="n">
        <v>988.1</v>
      </c>
      <c r="D189" s="19">
        <f>B189*C189</f>
        <v/>
      </c>
      <c r="E189" s="18" t="n">
        <v>0.52</v>
      </c>
      <c r="F189" s="18" t="n">
        <v>0.95</v>
      </c>
      <c r="G189" s="16" t="inlineStr">
        <is>
          <t>Concrete</t>
        </is>
      </c>
      <c r="H189" s="19">
        <f>D189*'Parameters &amp; Inputs'!$B$15</f>
        <v/>
      </c>
      <c r="I189" s="24">
        <f>(4*SQRT(C189))*(B189*'Parameters &amp; Inputs'!$B$14)*E189*'Parameters &amp; Inputs'!$B$16</f>
        <v/>
      </c>
      <c r="J189" s="25">
        <f>((H189*IF(G189="Mass Timber",'Parameters &amp; Inputs'!$B$7,'Parameters &amp; Inputs'!$B$6)) + (I189*'Parameters &amp; Inputs'!$B$8))/1000</f>
        <v/>
      </c>
      <c r="K189" s="26">
        <f>MAX('Parameters &amp; Inputs'!$B$13, 'Parameters &amp; Inputs'!$B$9 + (E189*'Parameters &amp; Inputs'!$B$10) - (F189*'Parameters &amp; Inputs'!$B$11) - IF(G189="Concrete",'Parameters &amp; Inputs'!$B$12,0))</f>
        <v/>
      </c>
      <c r="L189" s="25">
        <f>(D189*K189*'Parameters &amp; Inputs'!$B$5*'Parameters &amp; Inputs'!$B$4)/1000</f>
        <v/>
      </c>
      <c r="M189" s="25">
        <f>J189+L189</f>
        <v/>
      </c>
      <c r="N189" s="19">
        <f>(M189*1000)/D189</f>
        <v/>
      </c>
      <c r="O189" s="16">
        <f>IF(COUNTIFS($J$2:$J$201, "&lt;"&amp;J189, $L$2:$L$201, "&lt;"&amp;L189)=0, "PARETO", "Sub-optimal")</f>
        <v/>
      </c>
    </row>
    <row r="190" ht="20" customHeight="1">
      <c r="A190" s="10" t="n">
        <v>189</v>
      </c>
      <c r="B190" s="12" t="n">
        <v>11</v>
      </c>
      <c r="C190" s="14" t="n">
        <v>1251.5</v>
      </c>
      <c r="D190" s="14">
        <f>B190*C190</f>
        <v/>
      </c>
      <c r="E190" s="13" t="n">
        <v>0.45</v>
      </c>
      <c r="F190" s="13" t="n">
        <v>0.2</v>
      </c>
      <c r="G190" s="11" t="inlineStr">
        <is>
          <t>Mass Timber</t>
        </is>
      </c>
      <c r="H190" s="14">
        <f>D190*'Parameters &amp; Inputs'!$B$15</f>
        <v/>
      </c>
      <c r="I190" s="21">
        <f>(4*SQRT(C190))*(B190*'Parameters &amp; Inputs'!$B$14)*E190*'Parameters &amp; Inputs'!$B$16</f>
        <v/>
      </c>
      <c r="J190" s="22">
        <f>((H190*IF(G190="Mass Timber",'Parameters &amp; Inputs'!$B$7,'Parameters &amp; Inputs'!$B$6)) + (I190*'Parameters &amp; Inputs'!$B$8))/1000</f>
        <v/>
      </c>
      <c r="K190" s="23">
        <f>MAX('Parameters &amp; Inputs'!$B$13, 'Parameters &amp; Inputs'!$B$9 + (E190*'Parameters &amp; Inputs'!$B$10) - (F190*'Parameters &amp; Inputs'!$B$11) - IF(G190="Concrete",'Parameters &amp; Inputs'!$B$12,0))</f>
        <v/>
      </c>
      <c r="L190" s="22">
        <f>(D190*K190*'Parameters &amp; Inputs'!$B$5*'Parameters &amp; Inputs'!$B$4)/1000</f>
        <v/>
      </c>
      <c r="M190" s="22">
        <f>J190+L190</f>
        <v/>
      </c>
      <c r="N190" s="14">
        <f>(M190*1000)/D190</f>
        <v/>
      </c>
      <c r="O190" s="11">
        <f>IF(COUNTIFS($J$2:$J$201, "&lt;"&amp;J190, $L$2:$L$201, "&lt;"&amp;L190)=0, "PARETO", "Sub-optimal")</f>
        <v/>
      </c>
    </row>
    <row r="191" ht="20" customHeight="1">
      <c r="A191" s="15" t="n">
        <v>190</v>
      </c>
      <c r="B191" s="17" t="n">
        <v>7</v>
      </c>
      <c r="C191" s="19" t="n">
        <v>990.6</v>
      </c>
      <c r="D191" s="19">
        <f>B191*C191</f>
        <v/>
      </c>
      <c r="E191" s="18" t="n">
        <v>0.21</v>
      </c>
      <c r="F191" s="18" t="n">
        <v>1.37</v>
      </c>
      <c r="G191" s="16" t="inlineStr">
        <is>
          <t>Concrete</t>
        </is>
      </c>
      <c r="H191" s="19">
        <f>D191*'Parameters &amp; Inputs'!$B$15</f>
        <v/>
      </c>
      <c r="I191" s="24">
        <f>(4*SQRT(C191))*(B191*'Parameters &amp; Inputs'!$B$14)*E191*'Parameters &amp; Inputs'!$B$16</f>
        <v/>
      </c>
      <c r="J191" s="25">
        <f>((H191*IF(G191="Mass Timber",'Parameters &amp; Inputs'!$B$7,'Parameters &amp; Inputs'!$B$6)) + (I191*'Parameters &amp; Inputs'!$B$8))/1000</f>
        <v/>
      </c>
      <c r="K191" s="26">
        <f>MAX('Parameters &amp; Inputs'!$B$13, 'Parameters &amp; Inputs'!$B$9 + (E191*'Parameters &amp; Inputs'!$B$10) - (F191*'Parameters &amp; Inputs'!$B$11) - IF(G191="Concrete",'Parameters &amp; Inputs'!$B$12,0))</f>
        <v/>
      </c>
      <c r="L191" s="25">
        <f>(D191*K191*'Parameters &amp; Inputs'!$B$5*'Parameters &amp; Inputs'!$B$4)/1000</f>
        <v/>
      </c>
      <c r="M191" s="25">
        <f>J191+L191</f>
        <v/>
      </c>
      <c r="N191" s="19">
        <f>(M191*1000)/D191</f>
        <v/>
      </c>
      <c r="O191" s="16">
        <f>IF(COUNTIFS($J$2:$J$201, "&lt;"&amp;J191, $L$2:$L$201, "&lt;"&amp;L191)=0, "PARETO", "Sub-optimal")</f>
        <v/>
      </c>
    </row>
    <row r="192" ht="20" customHeight="1">
      <c r="A192" s="10" t="n">
        <v>191</v>
      </c>
      <c r="B192" s="12" t="n">
        <v>9</v>
      </c>
      <c r="C192" s="14" t="n">
        <v>1148.7</v>
      </c>
      <c r="D192" s="14">
        <f>B192*C192</f>
        <v/>
      </c>
      <c r="E192" s="13" t="n">
        <v>0.24</v>
      </c>
      <c r="F192" s="13" t="n">
        <v>0.61</v>
      </c>
      <c r="G192" s="11" t="inlineStr">
        <is>
          <t>Concrete</t>
        </is>
      </c>
      <c r="H192" s="14">
        <f>D192*'Parameters &amp; Inputs'!$B$15</f>
        <v/>
      </c>
      <c r="I192" s="21">
        <f>(4*SQRT(C192))*(B192*'Parameters &amp; Inputs'!$B$14)*E192*'Parameters &amp; Inputs'!$B$16</f>
        <v/>
      </c>
      <c r="J192" s="22">
        <f>((H192*IF(G192="Mass Timber",'Parameters &amp; Inputs'!$B$7,'Parameters &amp; Inputs'!$B$6)) + (I192*'Parameters &amp; Inputs'!$B$8))/1000</f>
        <v/>
      </c>
      <c r="K192" s="23">
        <f>MAX('Parameters &amp; Inputs'!$B$13, 'Parameters &amp; Inputs'!$B$9 + (E192*'Parameters &amp; Inputs'!$B$10) - (F192*'Parameters &amp; Inputs'!$B$11) - IF(G192="Concrete",'Parameters &amp; Inputs'!$B$12,0))</f>
        <v/>
      </c>
      <c r="L192" s="22">
        <f>(D192*K192*'Parameters &amp; Inputs'!$B$5*'Parameters &amp; Inputs'!$B$4)/1000</f>
        <v/>
      </c>
      <c r="M192" s="22">
        <f>J192+L192</f>
        <v/>
      </c>
      <c r="N192" s="14">
        <f>(M192*1000)/D192</f>
        <v/>
      </c>
      <c r="O192" s="11">
        <f>IF(COUNTIFS($J$2:$J$201, "&lt;"&amp;J192, $L$2:$L$201, "&lt;"&amp;L192)=0, "PARETO", "Sub-optimal")</f>
        <v/>
      </c>
    </row>
    <row r="193" ht="20" customHeight="1">
      <c r="A193" s="15" t="n">
        <v>192</v>
      </c>
      <c r="B193" s="17" t="n">
        <v>12</v>
      </c>
      <c r="C193" s="19" t="n">
        <v>874.6</v>
      </c>
      <c r="D193" s="19">
        <f>B193*C193</f>
        <v/>
      </c>
      <c r="E193" s="18" t="n">
        <v>0.28</v>
      </c>
      <c r="F193" s="18" t="n">
        <v>0.4</v>
      </c>
      <c r="G193" s="16" t="inlineStr">
        <is>
          <t>Concrete</t>
        </is>
      </c>
      <c r="H193" s="19">
        <f>D193*'Parameters &amp; Inputs'!$B$15</f>
        <v/>
      </c>
      <c r="I193" s="24">
        <f>(4*SQRT(C193))*(B193*'Parameters &amp; Inputs'!$B$14)*E193*'Parameters &amp; Inputs'!$B$16</f>
        <v/>
      </c>
      <c r="J193" s="25">
        <f>((H193*IF(G193="Mass Timber",'Parameters &amp; Inputs'!$B$7,'Parameters &amp; Inputs'!$B$6)) + (I193*'Parameters &amp; Inputs'!$B$8))/1000</f>
        <v/>
      </c>
      <c r="K193" s="26">
        <f>MAX('Parameters &amp; Inputs'!$B$13, 'Parameters &amp; Inputs'!$B$9 + (E193*'Parameters &amp; Inputs'!$B$10) - (F193*'Parameters &amp; Inputs'!$B$11) - IF(G193="Concrete",'Parameters &amp; Inputs'!$B$12,0))</f>
        <v/>
      </c>
      <c r="L193" s="25">
        <f>(D193*K193*'Parameters &amp; Inputs'!$B$5*'Parameters &amp; Inputs'!$B$4)/1000</f>
        <v/>
      </c>
      <c r="M193" s="25">
        <f>J193+L193</f>
        <v/>
      </c>
      <c r="N193" s="19">
        <f>(M193*1000)/D193</f>
        <v/>
      </c>
      <c r="O193" s="16">
        <f>IF(COUNTIFS($J$2:$J$201, "&lt;"&amp;J193, $L$2:$L$201, "&lt;"&amp;L193)=0, "PARETO", "Sub-optimal")</f>
        <v/>
      </c>
    </row>
    <row r="194" ht="20" customHeight="1">
      <c r="A194" s="10" t="n">
        <v>193</v>
      </c>
      <c r="B194" s="12" t="n">
        <v>13</v>
      </c>
      <c r="C194" s="14" t="n">
        <v>975.5</v>
      </c>
      <c r="D194" s="14">
        <f>B194*C194</f>
        <v/>
      </c>
      <c r="E194" s="13" t="n">
        <v>0.58</v>
      </c>
      <c r="F194" s="13" t="n">
        <v>0.74</v>
      </c>
      <c r="G194" s="11" t="inlineStr">
        <is>
          <t>Mass Timber</t>
        </is>
      </c>
      <c r="H194" s="14">
        <f>D194*'Parameters &amp; Inputs'!$B$15</f>
        <v/>
      </c>
      <c r="I194" s="21">
        <f>(4*SQRT(C194))*(B194*'Parameters &amp; Inputs'!$B$14)*E194*'Parameters &amp; Inputs'!$B$16</f>
        <v/>
      </c>
      <c r="J194" s="22">
        <f>((H194*IF(G194="Mass Timber",'Parameters &amp; Inputs'!$B$7,'Parameters &amp; Inputs'!$B$6)) + (I194*'Parameters &amp; Inputs'!$B$8))/1000</f>
        <v/>
      </c>
      <c r="K194" s="23">
        <f>MAX('Parameters &amp; Inputs'!$B$13, 'Parameters &amp; Inputs'!$B$9 + (E194*'Parameters &amp; Inputs'!$B$10) - (F194*'Parameters &amp; Inputs'!$B$11) - IF(G194="Concrete",'Parameters &amp; Inputs'!$B$12,0))</f>
        <v/>
      </c>
      <c r="L194" s="22">
        <f>(D194*K194*'Parameters &amp; Inputs'!$B$5*'Parameters &amp; Inputs'!$B$4)/1000</f>
        <v/>
      </c>
      <c r="M194" s="22">
        <f>J194+L194</f>
        <v/>
      </c>
      <c r="N194" s="14">
        <f>(M194*1000)/D194</f>
        <v/>
      </c>
      <c r="O194" s="11">
        <f>IF(COUNTIFS($J$2:$J$201, "&lt;"&amp;J194, $L$2:$L$201, "&lt;"&amp;L194)=0, "PARETO", "Sub-optimal")</f>
        <v/>
      </c>
    </row>
    <row r="195" ht="20" customHeight="1">
      <c r="A195" s="15" t="n">
        <v>194</v>
      </c>
      <c r="B195" s="17" t="n">
        <v>6</v>
      </c>
      <c r="C195" s="19" t="n">
        <v>1093.1</v>
      </c>
      <c r="D195" s="19">
        <f>B195*C195</f>
        <v/>
      </c>
      <c r="E195" s="18" t="n">
        <v>0.43</v>
      </c>
      <c r="F195" s="18" t="n">
        <v>0.78</v>
      </c>
      <c r="G195" s="16" t="inlineStr">
        <is>
          <t>Concrete</t>
        </is>
      </c>
      <c r="H195" s="19">
        <f>D195*'Parameters &amp; Inputs'!$B$15</f>
        <v/>
      </c>
      <c r="I195" s="24">
        <f>(4*SQRT(C195))*(B195*'Parameters &amp; Inputs'!$B$14)*E195*'Parameters &amp; Inputs'!$B$16</f>
        <v/>
      </c>
      <c r="J195" s="25">
        <f>((H195*IF(G195="Mass Timber",'Parameters &amp; Inputs'!$B$7,'Parameters &amp; Inputs'!$B$6)) + (I195*'Parameters &amp; Inputs'!$B$8))/1000</f>
        <v/>
      </c>
      <c r="K195" s="26">
        <f>MAX('Parameters &amp; Inputs'!$B$13, 'Parameters &amp; Inputs'!$B$9 + (E195*'Parameters &amp; Inputs'!$B$10) - (F195*'Parameters &amp; Inputs'!$B$11) - IF(G195="Concrete",'Parameters &amp; Inputs'!$B$12,0))</f>
        <v/>
      </c>
      <c r="L195" s="25">
        <f>(D195*K195*'Parameters &amp; Inputs'!$B$5*'Parameters &amp; Inputs'!$B$4)/1000</f>
        <v/>
      </c>
      <c r="M195" s="25">
        <f>J195+L195</f>
        <v/>
      </c>
      <c r="N195" s="19">
        <f>(M195*1000)/D195</f>
        <v/>
      </c>
      <c r="O195" s="16">
        <f>IF(COUNTIFS($J$2:$J$201, "&lt;"&amp;J195, $L$2:$L$201, "&lt;"&amp;L195)=0, "PARETO", "Sub-optimal")</f>
        <v/>
      </c>
    </row>
    <row r="196" ht="20" customHeight="1">
      <c r="A196" s="10" t="n">
        <v>195</v>
      </c>
      <c r="B196" s="12" t="n">
        <v>11</v>
      </c>
      <c r="C196" s="14" t="n">
        <v>1316.6</v>
      </c>
      <c r="D196" s="14">
        <f>B196*C196</f>
        <v/>
      </c>
      <c r="E196" s="13" t="n">
        <v>0.25</v>
      </c>
      <c r="F196" s="13" t="n">
        <v>0.9</v>
      </c>
      <c r="G196" s="11" t="inlineStr">
        <is>
          <t>Concrete</t>
        </is>
      </c>
      <c r="H196" s="14">
        <f>D196*'Parameters &amp; Inputs'!$B$15</f>
        <v/>
      </c>
      <c r="I196" s="21">
        <f>(4*SQRT(C196))*(B196*'Parameters &amp; Inputs'!$B$14)*E196*'Parameters &amp; Inputs'!$B$16</f>
        <v/>
      </c>
      <c r="J196" s="22">
        <f>((H196*IF(G196="Mass Timber",'Parameters &amp; Inputs'!$B$7,'Parameters &amp; Inputs'!$B$6)) + (I196*'Parameters &amp; Inputs'!$B$8))/1000</f>
        <v/>
      </c>
      <c r="K196" s="23">
        <f>MAX('Parameters &amp; Inputs'!$B$13, 'Parameters &amp; Inputs'!$B$9 + (E196*'Parameters &amp; Inputs'!$B$10) - (F196*'Parameters &amp; Inputs'!$B$11) - IF(G196="Concrete",'Parameters &amp; Inputs'!$B$12,0))</f>
        <v/>
      </c>
      <c r="L196" s="22">
        <f>(D196*K196*'Parameters &amp; Inputs'!$B$5*'Parameters &amp; Inputs'!$B$4)/1000</f>
        <v/>
      </c>
      <c r="M196" s="22">
        <f>J196+L196</f>
        <v/>
      </c>
      <c r="N196" s="14">
        <f>(M196*1000)/D196</f>
        <v/>
      </c>
      <c r="O196" s="11">
        <f>IF(COUNTIFS($J$2:$J$201, "&lt;"&amp;J196, $L$2:$L$201, "&lt;"&amp;L196)=0, "PARETO", "Sub-optimal")</f>
        <v/>
      </c>
    </row>
    <row r="197" ht="20" customHeight="1">
      <c r="A197" s="15" t="n">
        <v>196</v>
      </c>
      <c r="B197" s="17" t="n">
        <v>10</v>
      </c>
      <c r="C197" s="19" t="n">
        <v>1386</v>
      </c>
      <c r="D197" s="19">
        <f>B197*C197</f>
        <v/>
      </c>
      <c r="E197" s="18" t="n">
        <v>0.46</v>
      </c>
      <c r="F197" s="18" t="n">
        <v>1.37</v>
      </c>
      <c r="G197" s="16" t="inlineStr">
        <is>
          <t>Mass Timber</t>
        </is>
      </c>
      <c r="H197" s="19">
        <f>D197*'Parameters &amp; Inputs'!$B$15</f>
        <v/>
      </c>
      <c r="I197" s="24">
        <f>(4*SQRT(C197))*(B197*'Parameters &amp; Inputs'!$B$14)*E197*'Parameters &amp; Inputs'!$B$16</f>
        <v/>
      </c>
      <c r="J197" s="25">
        <f>((H197*IF(G197="Mass Timber",'Parameters &amp; Inputs'!$B$7,'Parameters &amp; Inputs'!$B$6)) + (I197*'Parameters &amp; Inputs'!$B$8))/1000</f>
        <v/>
      </c>
      <c r="K197" s="26">
        <f>MAX('Parameters &amp; Inputs'!$B$13, 'Parameters &amp; Inputs'!$B$9 + (E197*'Parameters &amp; Inputs'!$B$10) - (F197*'Parameters &amp; Inputs'!$B$11) - IF(G197="Concrete",'Parameters &amp; Inputs'!$B$12,0))</f>
        <v/>
      </c>
      <c r="L197" s="25">
        <f>(D197*K197*'Parameters &amp; Inputs'!$B$5*'Parameters &amp; Inputs'!$B$4)/1000</f>
        <v/>
      </c>
      <c r="M197" s="25">
        <f>J197+L197</f>
        <v/>
      </c>
      <c r="N197" s="19">
        <f>(M197*1000)/D197</f>
        <v/>
      </c>
      <c r="O197" s="16">
        <f>IF(COUNTIFS($J$2:$J$201, "&lt;"&amp;J197, $L$2:$L$201, "&lt;"&amp;L197)=0, "PARETO", "Sub-optimal")</f>
        <v/>
      </c>
    </row>
    <row r="198" ht="20" customHeight="1">
      <c r="A198" s="10" t="n">
        <v>197</v>
      </c>
      <c r="B198" s="12" t="n">
        <v>13</v>
      </c>
      <c r="C198" s="14" t="n">
        <v>1196.5</v>
      </c>
      <c r="D198" s="14">
        <f>B198*C198</f>
        <v/>
      </c>
      <c r="E198" s="13" t="n">
        <v>0.49</v>
      </c>
      <c r="F198" s="13" t="n">
        <v>1</v>
      </c>
      <c r="G198" s="11" t="inlineStr">
        <is>
          <t>Mass Timber</t>
        </is>
      </c>
      <c r="H198" s="14">
        <f>D198*'Parameters &amp; Inputs'!$B$15</f>
        <v/>
      </c>
      <c r="I198" s="21">
        <f>(4*SQRT(C198))*(B198*'Parameters &amp; Inputs'!$B$14)*E198*'Parameters &amp; Inputs'!$B$16</f>
        <v/>
      </c>
      <c r="J198" s="22">
        <f>((H198*IF(G198="Mass Timber",'Parameters &amp; Inputs'!$B$7,'Parameters &amp; Inputs'!$B$6)) + (I198*'Parameters &amp; Inputs'!$B$8))/1000</f>
        <v/>
      </c>
      <c r="K198" s="23">
        <f>MAX('Parameters &amp; Inputs'!$B$13, 'Parameters &amp; Inputs'!$B$9 + (E198*'Parameters &amp; Inputs'!$B$10) - (F198*'Parameters &amp; Inputs'!$B$11) - IF(G198="Concrete",'Parameters &amp; Inputs'!$B$12,0))</f>
        <v/>
      </c>
      <c r="L198" s="22">
        <f>(D198*K198*'Parameters &amp; Inputs'!$B$5*'Parameters &amp; Inputs'!$B$4)/1000</f>
        <v/>
      </c>
      <c r="M198" s="22">
        <f>J198+L198</f>
        <v/>
      </c>
      <c r="N198" s="14">
        <f>(M198*1000)/D198</f>
        <v/>
      </c>
      <c r="O198" s="11">
        <f>IF(COUNTIFS($J$2:$J$201, "&lt;"&amp;J198, $L$2:$L$201, "&lt;"&amp;L198)=0, "PARETO", "Sub-optimal")</f>
        <v/>
      </c>
    </row>
    <row r="199" ht="20" customHeight="1">
      <c r="A199" s="15" t="n">
        <v>198</v>
      </c>
      <c r="B199" s="17" t="n">
        <v>10</v>
      </c>
      <c r="C199" s="19" t="n">
        <v>1138.6</v>
      </c>
      <c r="D199" s="19">
        <f>B199*C199</f>
        <v/>
      </c>
      <c r="E199" s="18" t="n">
        <v>0.36</v>
      </c>
      <c r="F199" s="18" t="n">
        <v>0.8100000000000001</v>
      </c>
      <c r="G199" s="16" t="inlineStr">
        <is>
          <t>Concrete</t>
        </is>
      </c>
      <c r="H199" s="19">
        <f>D199*'Parameters &amp; Inputs'!$B$15</f>
        <v/>
      </c>
      <c r="I199" s="24">
        <f>(4*SQRT(C199))*(B199*'Parameters &amp; Inputs'!$B$14)*E199*'Parameters &amp; Inputs'!$B$16</f>
        <v/>
      </c>
      <c r="J199" s="25">
        <f>((H199*IF(G199="Mass Timber",'Parameters &amp; Inputs'!$B$7,'Parameters &amp; Inputs'!$B$6)) + (I199*'Parameters &amp; Inputs'!$B$8))/1000</f>
        <v/>
      </c>
      <c r="K199" s="26">
        <f>MAX('Parameters &amp; Inputs'!$B$13, 'Parameters &amp; Inputs'!$B$9 + (E199*'Parameters &amp; Inputs'!$B$10) - (F199*'Parameters &amp; Inputs'!$B$11) - IF(G199="Concrete",'Parameters &amp; Inputs'!$B$12,0))</f>
        <v/>
      </c>
      <c r="L199" s="25">
        <f>(D199*K199*'Parameters &amp; Inputs'!$B$5*'Parameters &amp; Inputs'!$B$4)/1000</f>
        <v/>
      </c>
      <c r="M199" s="25">
        <f>J199+L199</f>
        <v/>
      </c>
      <c r="N199" s="19">
        <f>(M199*1000)/D199</f>
        <v/>
      </c>
      <c r="O199" s="16">
        <f>IF(COUNTIFS($J$2:$J$201, "&lt;"&amp;J199, $L$2:$L$201, "&lt;"&amp;L199)=0, "PARETO", "Sub-optimal")</f>
        <v/>
      </c>
    </row>
    <row r="200" ht="20" customHeight="1">
      <c r="A200" s="10" t="n">
        <v>199</v>
      </c>
      <c r="B200" s="12" t="n">
        <v>9</v>
      </c>
      <c r="C200" s="14" t="n">
        <v>836</v>
      </c>
      <c r="D200" s="14">
        <f>B200*C200</f>
        <v/>
      </c>
      <c r="E200" s="13" t="n">
        <v>0.5</v>
      </c>
      <c r="F200" s="13" t="n">
        <v>0.9</v>
      </c>
      <c r="G200" s="11" t="inlineStr">
        <is>
          <t>Concrete</t>
        </is>
      </c>
      <c r="H200" s="14">
        <f>D200*'Parameters &amp; Inputs'!$B$15</f>
        <v/>
      </c>
      <c r="I200" s="21">
        <f>(4*SQRT(C200))*(B200*'Parameters &amp; Inputs'!$B$14)*E200*'Parameters &amp; Inputs'!$B$16</f>
        <v/>
      </c>
      <c r="J200" s="22">
        <f>((H200*IF(G200="Mass Timber",'Parameters &amp; Inputs'!$B$7,'Parameters &amp; Inputs'!$B$6)) + (I200*'Parameters &amp; Inputs'!$B$8))/1000</f>
        <v/>
      </c>
      <c r="K200" s="23">
        <f>MAX('Parameters &amp; Inputs'!$B$13, 'Parameters &amp; Inputs'!$B$9 + (E200*'Parameters &amp; Inputs'!$B$10) - (F200*'Parameters &amp; Inputs'!$B$11) - IF(G200="Concrete",'Parameters &amp; Inputs'!$B$12,0))</f>
        <v/>
      </c>
      <c r="L200" s="22">
        <f>(D200*K200*'Parameters &amp; Inputs'!$B$5*'Parameters &amp; Inputs'!$B$4)/1000</f>
        <v/>
      </c>
      <c r="M200" s="22">
        <f>J200+L200</f>
        <v/>
      </c>
      <c r="N200" s="14">
        <f>(M200*1000)/D200</f>
        <v/>
      </c>
      <c r="O200" s="11">
        <f>IF(COUNTIFS($J$2:$J$201, "&lt;"&amp;J200, $L$2:$L$201, "&lt;"&amp;L200)=0, "PARETO", "Sub-optimal")</f>
        <v/>
      </c>
    </row>
    <row r="201" ht="20" customHeight="1">
      <c r="A201" s="15" t="n">
        <v>200</v>
      </c>
      <c r="B201" s="17" t="n">
        <v>7</v>
      </c>
      <c r="C201" s="19" t="n">
        <v>874.6</v>
      </c>
      <c r="D201" s="19">
        <f>B201*C201</f>
        <v/>
      </c>
      <c r="E201" s="18" t="n">
        <v>0.25</v>
      </c>
      <c r="F201" s="18" t="n">
        <v>1.09</v>
      </c>
      <c r="G201" s="16" t="inlineStr">
        <is>
          <t>Concrete</t>
        </is>
      </c>
      <c r="H201" s="19">
        <f>D201*'Parameters &amp; Inputs'!$B$15</f>
        <v/>
      </c>
      <c r="I201" s="24">
        <f>(4*SQRT(C201))*(B201*'Parameters &amp; Inputs'!$B$14)*E201*'Parameters &amp; Inputs'!$B$16</f>
        <v/>
      </c>
      <c r="J201" s="25">
        <f>((H201*IF(G201="Mass Timber",'Parameters &amp; Inputs'!$B$7,'Parameters &amp; Inputs'!$B$6)) + (I201*'Parameters &amp; Inputs'!$B$8))/1000</f>
        <v/>
      </c>
      <c r="K201" s="26">
        <f>MAX('Parameters &amp; Inputs'!$B$13, 'Parameters &amp; Inputs'!$B$9 + (E201*'Parameters &amp; Inputs'!$B$10) - (F201*'Parameters &amp; Inputs'!$B$11) - IF(G201="Concrete",'Parameters &amp; Inputs'!$B$12,0))</f>
        <v/>
      </c>
      <c r="L201" s="25">
        <f>(D201*K201*'Parameters &amp; Inputs'!$B$5*'Parameters &amp; Inputs'!$B$4)/1000</f>
        <v/>
      </c>
      <c r="M201" s="25">
        <f>J201+L201</f>
        <v/>
      </c>
      <c r="N201" s="19">
        <f>(M201*1000)/D201</f>
        <v/>
      </c>
      <c r="O201" s="16">
        <f>IF(COUNTIFS($J$2:$J$201, "&lt;"&amp;J201, $L$2:$L$201, "&lt;"&amp;L201)=0, "PARETO", "Sub-optimal")</f>
        <v/>
      </c>
    </row>
  </sheetData>
  <conditionalFormatting sqref="O2:O201">
    <cfRule type="cellIs" priority="1" operator="equal" dxfId="0" stopIfTrue="1">
      <formula>"PARETO"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40" customWidth="1" min="4" max="4"/>
  </cols>
  <sheetData>
    <row r="1" ht="40" customHeight="1">
      <c r="A1" s="1" t="inlineStr">
        <is>
          <t>BIM &amp; Life Cycle Carbon Optimization Parameters</t>
        </is>
      </c>
    </row>
    <row r="3" ht="25" customHeight="1">
      <c r="A3" s="9" t="inlineStr">
        <is>
          <t>Parameter Name</t>
        </is>
      </c>
      <c r="B3" s="9" t="inlineStr">
        <is>
          <t>Value</t>
        </is>
      </c>
      <c r="C3" s="9" t="inlineStr">
        <is>
          <t>Unit</t>
        </is>
      </c>
      <c r="D3" s="9" t="inlineStr">
        <is>
          <t>Description / Source</t>
        </is>
      </c>
    </row>
    <row r="4">
      <c r="A4" s="27" t="inlineStr">
        <is>
          <t>Building Lifespan</t>
        </is>
      </c>
      <c r="B4" s="28" t="n">
        <v>60</v>
      </c>
      <c r="C4" s="29" t="inlineStr">
        <is>
          <t>Years</t>
        </is>
      </c>
      <c r="D4" s="29" t="inlineStr">
        <is>
          <t>Standard study period for LCA</t>
        </is>
      </c>
    </row>
    <row r="5">
      <c r="A5" s="27" t="inlineStr">
        <is>
          <t>Grid Carbon Intensity</t>
        </is>
      </c>
      <c r="B5" s="13" t="n">
        <v>0.25</v>
      </c>
      <c r="C5" s="29" t="inlineStr">
        <is>
          <t>kg CO2e / kWh</t>
        </is>
      </c>
      <c r="D5" s="29" t="inlineStr">
        <is>
          <t>Projected 60-year average electricity grid carbon factor</t>
        </is>
      </c>
    </row>
    <row r="6">
      <c r="A6" s="27" t="inlineStr">
        <is>
          <t>ECF Concrete Structure</t>
        </is>
      </c>
      <c r="B6" s="14" t="n">
        <v>380</v>
      </c>
      <c r="C6" s="29" t="inlineStr">
        <is>
          <t>kg CO2e / m³</t>
        </is>
      </c>
      <c r="D6" s="29" t="inlineStr">
        <is>
          <t>Traditional reinforced concrete framing + slabs (EPD)</t>
        </is>
      </c>
    </row>
    <row r="7">
      <c r="A7" s="27" t="inlineStr">
        <is>
          <t>ECF Mass Timber Structure</t>
        </is>
      </c>
      <c r="B7" s="14" t="n">
        <v>110</v>
      </c>
      <c r="C7" s="29" t="inlineStr">
        <is>
          <t>kg CO2e / m³</t>
        </is>
      </c>
      <c r="D7" s="29" t="inlineStr">
        <is>
          <t>Glulam / CLT hybrid structural frame (Net EPD)</t>
        </is>
      </c>
    </row>
    <row r="8">
      <c r="A8" s="27" t="inlineStr">
        <is>
          <t>ECF Facade Glazing</t>
        </is>
      </c>
      <c r="B8" s="14" t="n">
        <v>1200</v>
      </c>
      <c r="C8" s="29" t="inlineStr">
        <is>
          <t>kg CO2e / m³</t>
        </is>
      </c>
      <c r="D8" s="29" t="inlineStr">
        <is>
          <t>Curtain wall double glazing system EPD</t>
        </is>
      </c>
    </row>
    <row r="9">
      <c r="A9" s="27" t="inlineStr">
        <is>
          <t>Baseline EUI</t>
        </is>
      </c>
      <c r="B9" s="14" t="n">
        <v>120</v>
      </c>
      <c r="C9" s="29" t="inlineStr">
        <is>
          <t>kWh / m² / yr</t>
        </is>
      </c>
      <c r="D9" s="29" t="inlineStr">
        <is>
          <t>Code-compliant reference office building energy intensity</t>
        </is>
      </c>
    </row>
    <row r="10">
      <c r="A10" s="27" t="inlineStr">
        <is>
          <t>WWR Cooling Penalty Factor</t>
        </is>
      </c>
      <c r="B10" s="23" t="n">
        <v>35</v>
      </c>
      <c r="C10" s="29" t="inlineStr">
        <is>
          <t>kWh / m² / yr</t>
        </is>
      </c>
      <c r="D10" s="29" t="inlineStr">
        <is>
          <t>EUI increase per 1.0 South Window-to-Wall Ratio</t>
        </is>
      </c>
    </row>
    <row r="11">
      <c r="A11" s="27" t="inlineStr">
        <is>
          <t>Shading EUI Benefit Factor</t>
        </is>
      </c>
      <c r="B11" s="23" t="n">
        <v>12</v>
      </c>
      <c r="C11" s="29" t="inlineStr">
        <is>
          <t>kWh / m² / yr</t>
        </is>
      </c>
      <c r="D11" s="29" t="inlineStr">
        <is>
          <t>EUI decrease per meter of louver projection</t>
        </is>
      </c>
    </row>
    <row r="12">
      <c r="A12" s="27" t="inlineStr">
        <is>
          <t>Concrete Thermal Mass Benefit</t>
        </is>
      </c>
      <c r="B12" s="23" t="n">
        <v>8</v>
      </c>
      <c r="C12" s="29" t="inlineStr">
        <is>
          <t>kWh / m² / yr</t>
        </is>
      </c>
      <c r="D12" s="29" t="inlineStr">
        <is>
          <t>EUI reduction from passive concrete thermal inertia</t>
        </is>
      </c>
    </row>
    <row r="13">
      <c r="A13" s="27" t="inlineStr">
        <is>
          <t>Minimum Physics EUI Limit</t>
        </is>
      </c>
      <c r="B13" s="23" t="n">
        <v>60</v>
      </c>
      <c r="C13" s="29" t="inlineStr">
        <is>
          <t>kWh / m² / yr</t>
        </is>
      </c>
      <c r="D13" s="29" t="inlineStr">
        <is>
          <t>Lowest achievable EUI ceiling for passive HVAC</t>
        </is>
      </c>
    </row>
    <row r="14">
      <c r="A14" s="27" t="inlineStr">
        <is>
          <t>Floor Height Baseline</t>
        </is>
      </c>
      <c r="B14" s="13" t="n">
        <v>3.5</v>
      </c>
      <c r="C14" s="29" t="inlineStr">
        <is>
          <t>Meters</t>
        </is>
      </c>
      <c r="D14" s="29" t="inlineStr">
        <is>
          <t>Standard floor-to-floor structural height</t>
        </is>
      </c>
    </row>
    <row r="15">
      <c r="A15" s="27" t="inlineStr">
        <is>
          <t>Structural Slab Depth Equiv.</t>
        </is>
      </c>
      <c r="B15" s="30" t="n">
        <v>0.35</v>
      </c>
      <c r="C15" s="29" t="inlineStr">
        <is>
          <t>Meters</t>
        </is>
      </c>
      <c r="D15" s="29" t="inlineStr">
        <is>
          <t>Equivalent thickness for slab/column structural mass calculation</t>
        </is>
      </c>
    </row>
    <row r="16">
      <c r="A16" s="27" t="inlineStr">
        <is>
          <t>Glass Thickness Equiv.</t>
        </is>
      </c>
      <c r="B16" s="30" t="n">
        <v>0.02</v>
      </c>
      <c r="C16" s="29" t="inlineStr">
        <is>
          <t>Meters</t>
        </is>
      </c>
      <c r="D16" s="29" t="inlineStr">
        <is>
          <t>Total glass layer thickness in curtain wall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2026-08-12T12:59:28Z</dcterms:created>
  <dcterms:modified xmlns:dcterms="http://purl.org/dc/terms/" xmlns:xsi="http://www.w3.org/2001/XMLSchema-instance" xsi:type="dcterms:W3CDTF">2026-08-12T12:59:29Z</dcterms:modified>
</cp:coreProperties>
</file>